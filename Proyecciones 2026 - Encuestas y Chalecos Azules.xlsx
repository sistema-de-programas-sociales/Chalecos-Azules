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an S\Documents\GitHub\Cerebro-Virtual-Kyuvv\Cerebro Digital\02-Proyectos\Activos\SDHyBC\Diseño UI-UX (Portales y Apps)\trabajos\T1 Chalecos Azules Portal de Proyeccion\datos\"/>
    </mc:Choice>
  </mc:AlternateContent>
  <xr:revisionPtr revIDLastSave="0" documentId="13_ncr:1_{61DE38F9-B569-4FEA-81E2-3A3299472FC1}" xr6:coauthVersionLast="47" xr6:coauthVersionMax="47" xr10:uidLastSave="{00000000-0000-0000-0000-000000000000}"/>
  <bookViews>
    <workbookView xWindow="-108" yWindow="-108" windowWidth="23256" windowHeight="12456" tabRatio="794" activeTab="1" xr2:uid="{00000000-000D-0000-FFFF-FFFF00000000}"/>
  </bookViews>
  <sheets>
    <sheet name="Resumen Ejecutivo" sheetId="1" r:id="rId1"/>
    <sheet name="Simulación Total 2026" sheetId="3" r:id="rId2"/>
    <sheet name="Simulación 2026 (Ritmo Real)" sheetId="4" r:id="rId3"/>
    <sheet name="Chalecos Activos - Historico" sheetId="5" r:id="rId4"/>
    <sheet name="Proyección por Municipio 2026" sheetId="6" r:id="rId5"/>
  </sheets>
  <externalReferences>
    <externalReference r:id="rId6"/>
  </externalReferences>
  <definedNames>
    <definedName name="_xlnm._FilterDatabase" localSheetId="4" hidden="1">'Proyección por Municipio 2026'!$A$4:$N$71</definedName>
    <definedName name="_xlnm._FilterDatabase" localSheetId="2" hidden="1">'Simulación 2026 (Ritmo Real)'!$G$4:$AL$71</definedName>
    <definedName name="_xlnm._FilterDatabase" localSheetId="1" hidden="1">'Simulación Total 2026'!$G$4:$AL$71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73" i="3" l="1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R73" i="3"/>
  <c r="S73" i="3"/>
  <c r="Q73" i="3"/>
  <c r="P5" i="3"/>
  <c r="P72" i="3" s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K73" i="3"/>
  <c r="B5" i="4"/>
  <c r="B5" i="3"/>
  <c r="AK72" i="4"/>
  <c r="U72" i="4"/>
  <c r="T72" i="4"/>
  <c r="S72" i="4"/>
  <c r="R72" i="4"/>
  <c r="Q72" i="4"/>
  <c r="O72" i="4"/>
  <c r="N72" i="4"/>
  <c r="M72" i="4"/>
  <c r="L72" i="4"/>
  <c r="K72" i="4"/>
  <c r="J72" i="4"/>
  <c r="I72" i="4"/>
  <c r="H72" i="4"/>
  <c r="AJ71" i="4"/>
  <c r="AL71" i="4" s="1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P71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P70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P69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P68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P67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P66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P65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P64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P63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P62" i="4"/>
  <c r="AI61" i="4"/>
  <c r="AH61" i="4"/>
  <c r="AG61" i="4"/>
  <c r="AF61" i="4"/>
  <c r="AE61" i="4"/>
  <c r="AD61" i="4"/>
  <c r="AC61" i="4"/>
  <c r="AB61" i="4"/>
  <c r="AA61" i="4"/>
  <c r="Z61" i="4"/>
  <c r="Y61" i="4"/>
  <c r="AJ61" i="4" s="1"/>
  <c r="AL61" i="4" s="1"/>
  <c r="X61" i="4"/>
  <c r="W61" i="4"/>
  <c r="V61" i="4"/>
  <c r="P61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AJ60" i="4" s="1"/>
  <c r="AL60" i="4" s="1"/>
  <c r="P60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P59" i="4"/>
  <c r="AI58" i="4"/>
  <c r="AH58" i="4"/>
  <c r="AG58" i="4"/>
  <c r="AF58" i="4"/>
  <c r="AE58" i="4"/>
  <c r="AJ58" i="4" s="1"/>
  <c r="AL58" i="4" s="1"/>
  <c r="AD58" i="4"/>
  <c r="AC58" i="4"/>
  <c r="AB58" i="4"/>
  <c r="AA58" i="4"/>
  <c r="Z58" i="4"/>
  <c r="Y58" i="4"/>
  <c r="X58" i="4"/>
  <c r="W58" i="4"/>
  <c r="V58" i="4"/>
  <c r="P58" i="4"/>
  <c r="AI57" i="4"/>
  <c r="AH57" i="4"/>
  <c r="AG57" i="4"/>
  <c r="AF57" i="4"/>
  <c r="AE57" i="4"/>
  <c r="AD57" i="4"/>
  <c r="AC57" i="4"/>
  <c r="AB57" i="4"/>
  <c r="AA57" i="4"/>
  <c r="Z57" i="4"/>
  <c r="AJ57" i="4" s="1"/>
  <c r="AL57" i="4" s="1"/>
  <c r="Y57" i="4"/>
  <c r="X57" i="4"/>
  <c r="W57" i="4"/>
  <c r="V57" i="4"/>
  <c r="P57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P56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AJ55" i="4" s="1"/>
  <c r="AL55" i="4" s="1"/>
  <c r="P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P54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P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AJ52" i="4" s="1"/>
  <c r="AL52" i="4" s="1"/>
  <c r="P52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P51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P50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P49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P48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P47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P46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P45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P44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AJ43" i="4" s="1"/>
  <c r="AL43" i="4" s="1"/>
  <c r="P43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P42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P41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AJ40" i="4" s="1"/>
  <c r="AL40" i="4" s="1"/>
  <c r="P40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AJ39" i="4" s="1"/>
  <c r="AL39" i="4" s="1"/>
  <c r="P39" i="4"/>
  <c r="AI38" i="4"/>
  <c r="AH38" i="4"/>
  <c r="AG38" i="4"/>
  <c r="AF38" i="4"/>
  <c r="AJ38" i="4" s="1"/>
  <c r="AL38" i="4" s="1"/>
  <c r="AE38" i="4"/>
  <c r="AD38" i="4"/>
  <c r="AC38" i="4"/>
  <c r="AB38" i="4"/>
  <c r="AA38" i="4"/>
  <c r="Z38" i="4"/>
  <c r="Y38" i="4"/>
  <c r="X38" i="4"/>
  <c r="W38" i="4"/>
  <c r="V38" i="4"/>
  <c r="P38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P37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P36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AJ35" i="4" s="1"/>
  <c r="AL35" i="4" s="1"/>
  <c r="P35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P34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P33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AJ32" i="4" s="1"/>
  <c r="AL32" i="4" s="1"/>
  <c r="P32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P31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P30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P29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P28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P27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P26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P25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P24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AJ23" i="4" s="1"/>
  <c r="AL23" i="4" s="1"/>
  <c r="P23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P22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P21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P20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P19" i="4"/>
  <c r="AI18" i="4"/>
  <c r="AH18" i="4"/>
  <c r="AG18" i="4"/>
  <c r="AJ18" i="4" s="1"/>
  <c r="AL18" i="4" s="1"/>
  <c r="AF18" i="4"/>
  <c r="AE18" i="4"/>
  <c r="AD18" i="4"/>
  <c r="AC18" i="4"/>
  <c r="AB18" i="4"/>
  <c r="AA18" i="4"/>
  <c r="Z18" i="4"/>
  <c r="Y18" i="4"/>
  <c r="X18" i="4"/>
  <c r="W18" i="4"/>
  <c r="V18" i="4"/>
  <c r="P18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P17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P16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P15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P14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P13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P12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P11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P10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P9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P8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P7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P6" i="4"/>
  <c r="AI5" i="4"/>
  <c r="AH5" i="4"/>
  <c r="AG5" i="4"/>
  <c r="AF5" i="4"/>
  <c r="AE5" i="4"/>
  <c r="AD5" i="4"/>
  <c r="AC5" i="4"/>
  <c r="AC72" i="4" s="1"/>
  <c r="AB5" i="4"/>
  <c r="AB72" i="4" s="1"/>
  <c r="AA5" i="4"/>
  <c r="Z5" i="4"/>
  <c r="Y5" i="4"/>
  <c r="X5" i="4"/>
  <c r="W5" i="4"/>
  <c r="V5" i="4"/>
  <c r="P5" i="4"/>
  <c r="P72" i="4" s="1"/>
  <c r="AK72" i="3"/>
  <c r="U72" i="3"/>
  <c r="T72" i="3"/>
  <c r="S72" i="3"/>
  <c r="R72" i="3"/>
  <c r="Q72" i="3"/>
  <c r="O72" i="3"/>
  <c r="N72" i="3"/>
  <c r="M72" i="3"/>
  <c r="L72" i="3"/>
  <c r="K72" i="3"/>
  <c r="J72" i="3"/>
  <c r="I72" i="3"/>
  <c r="H72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AJ24" i="3" s="1"/>
  <c r="AL24" i="3" s="1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AJ53" i="3" l="1"/>
  <c r="AL53" i="3" s="1"/>
  <c r="AJ33" i="3"/>
  <c r="AL33" i="3" s="1"/>
  <c r="AJ55" i="3"/>
  <c r="AL55" i="3" s="1"/>
  <c r="AJ65" i="3"/>
  <c r="AL65" i="3" s="1"/>
  <c r="AJ39" i="3"/>
  <c r="AL39" i="3" s="1"/>
  <c r="AJ28" i="3"/>
  <c r="AL28" i="3" s="1"/>
  <c r="AJ32" i="3"/>
  <c r="AL32" i="3" s="1"/>
  <c r="AJ38" i="3"/>
  <c r="AL38" i="3" s="1"/>
  <c r="AJ48" i="3"/>
  <c r="AL48" i="3" s="1"/>
  <c r="AJ58" i="3"/>
  <c r="AL58" i="3" s="1"/>
  <c r="AJ68" i="3"/>
  <c r="AL68" i="3" s="1"/>
  <c r="AJ18" i="3"/>
  <c r="AL18" i="3" s="1"/>
  <c r="Y72" i="3"/>
  <c r="AE72" i="3"/>
  <c r="AJ13" i="3"/>
  <c r="AL13" i="3" s="1"/>
  <c r="AJ21" i="3"/>
  <c r="AL21" i="3" s="1"/>
  <c r="AJ41" i="3"/>
  <c r="AL41" i="3" s="1"/>
  <c r="AJ61" i="3"/>
  <c r="AL61" i="3" s="1"/>
  <c r="AJ5" i="3"/>
  <c r="AL5" i="3" s="1"/>
  <c r="AJ22" i="3"/>
  <c r="AL22" i="3" s="1"/>
  <c r="AJ56" i="3"/>
  <c r="AL56" i="3" s="1"/>
  <c r="AJ15" i="3"/>
  <c r="AL15" i="3" s="1"/>
  <c r="AJ25" i="3"/>
  <c r="AL25" i="3" s="1"/>
  <c r="AJ42" i="3"/>
  <c r="AL42" i="3" s="1"/>
  <c r="AJ52" i="3"/>
  <c r="AL52" i="3" s="1"/>
  <c r="AD72" i="3"/>
  <c r="V72" i="3"/>
  <c r="AJ12" i="3"/>
  <c r="AL12" i="3" s="1"/>
  <c r="AJ19" i="3"/>
  <c r="AL19" i="3" s="1"/>
  <c r="AJ35" i="3"/>
  <c r="AL35" i="3" s="1"/>
  <c r="AJ45" i="3"/>
  <c r="AL45" i="3" s="1"/>
  <c r="AJ62" i="3"/>
  <c r="AL62" i="3" s="1"/>
  <c r="AJ46" i="3"/>
  <c r="AL46" i="3" s="1"/>
  <c r="AF72" i="3"/>
  <c r="X72" i="3"/>
  <c r="AJ10" i="3"/>
  <c r="AL10" i="3" s="1"/>
  <c r="AJ37" i="3"/>
  <c r="AL37" i="3" s="1"/>
  <c r="AJ47" i="3"/>
  <c r="AL47" i="3" s="1"/>
  <c r="AJ66" i="3"/>
  <c r="AL66" i="3" s="1"/>
  <c r="AG72" i="3"/>
  <c r="AJ30" i="3"/>
  <c r="AL30" i="3" s="1"/>
  <c r="AJ57" i="3"/>
  <c r="AL57" i="3" s="1"/>
  <c r="AJ67" i="3"/>
  <c r="AL67" i="3" s="1"/>
  <c r="AJ50" i="3"/>
  <c r="AL50" i="3" s="1"/>
  <c r="AC72" i="3"/>
  <c r="AI72" i="3"/>
  <c r="AJ60" i="3"/>
  <c r="AL60" i="3" s="1"/>
  <c r="AJ20" i="3"/>
  <c r="AL20" i="3" s="1"/>
  <c r="AJ40" i="3"/>
  <c r="AL40" i="3" s="1"/>
  <c r="AJ70" i="3"/>
  <c r="AL70" i="3" s="1"/>
  <c r="W72" i="3"/>
  <c r="AJ59" i="3"/>
  <c r="AL59" i="3" s="1"/>
  <c r="AA72" i="3"/>
  <c r="AJ11" i="3"/>
  <c r="AL11" i="3" s="1"/>
  <c r="AB72" i="3"/>
  <c r="AJ31" i="3"/>
  <c r="AL31" i="3" s="1"/>
  <c r="AJ14" i="3"/>
  <c r="AL14" i="3" s="1"/>
  <c r="AJ51" i="3"/>
  <c r="AL51" i="3" s="1"/>
  <c r="AJ7" i="3"/>
  <c r="AL7" i="3" s="1"/>
  <c r="AJ26" i="3"/>
  <c r="AL26" i="3" s="1"/>
  <c r="AJ34" i="3"/>
  <c r="AL34" i="3" s="1"/>
  <c r="AJ71" i="3"/>
  <c r="AL71" i="3" s="1"/>
  <c r="AJ27" i="3"/>
  <c r="AL27" i="3" s="1"/>
  <c r="AJ54" i="3"/>
  <c r="AL54" i="3" s="1"/>
  <c r="AJ64" i="3"/>
  <c r="AL64" i="3" s="1"/>
  <c r="AH72" i="3"/>
  <c r="AJ9" i="3"/>
  <c r="AL9" i="3" s="1"/>
  <c r="AJ23" i="3"/>
  <c r="AL23" i="3" s="1"/>
  <c r="AJ29" i="3"/>
  <c r="AL29" i="3" s="1"/>
  <c r="AJ16" i="3"/>
  <c r="AL16" i="3" s="1"/>
  <c r="AJ43" i="3"/>
  <c r="AL43" i="3" s="1"/>
  <c r="AJ49" i="3"/>
  <c r="AL49" i="3" s="1"/>
  <c r="Z72" i="3"/>
  <c r="AJ6" i="3"/>
  <c r="AL6" i="3" s="1"/>
  <c r="AJ44" i="3"/>
  <c r="AL44" i="3" s="1"/>
  <c r="AJ17" i="3"/>
  <c r="AL17" i="3" s="1"/>
  <c r="AJ36" i="3"/>
  <c r="AL36" i="3" s="1"/>
  <c r="AJ63" i="3"/>
  <c r="AL63" i="3" s="1"/>
  <c r="AJ69" i="3"/>
  <c r="AL69" i="3" s="1"/>
  <c r="AJ16" i="4"/>
  <c r="AL16" i="4" s="1"/>
  <c r="AJ20" i="4"/>
  <c r="AL20" i="4" s="1"/>
  <c r="AJ36" i="4"/>
  <c r="AL36" i="4" s="1"/>
  <c r="AD72" i="4"/>
  <c r="AJ56" i="4"/>
  <c r="AL56" i="4" s="1"/>
  <c r="AE72" i="4"/>
  <c r="AJ8" i="4"/>
  <c r="AL8" i="4" s="1"/>
  <c r="AF72" i="4"/>
  <c r="AJ15" i="4"/>
  <c r="AL15" i="4" s="1"/>
  <c r="AJ28" i="4"/>
  <c r="AL28" i="4" s="1"/>
  <c r="AG72" i="4"/>
  <c r="AJ7" i="4"/>
  <c r="AL7" i="4" s="1"/>
  <c r="AJ19" i="4"/>
  <c r="AL19" i="4" s="1"/>
  <c r="AJ24" i="4"/>
  <c r="AL24" i="4" s="1"/>
  <c r="AJ48" i="4"/>
  <c r="AL48" i="4" s="1"/>
  <c r="AH72" i="4"/>
  <c r="AJ27" i="4"/>
  <c r="AL27" i="4" s="1"/>
  <c r="AJ44" i="4"/>
  <c r="AL44" i="4" s="1"/>
  <c r="AI72" i="4"/>
  <c r="AJ47" i="4"/>
  <c r="AL47" i="4" s="1"/>
  <c r="AJ59" i="4"/>
  <c r="AL59" i="4" s="1"/>
  <c r="AJ63" i="4"/>
  <c r="AL63" i="4" s="1"/>
  <c r="AJ64" i="4"/>
  <c r="AL64" i="4" s="1"/>
  <c r="AJ68" i="4"/>
  <c r="AL68" i="4" s="1"/>
  <c r="AA72" i="4"/>
  <c r="AJ12" i="4"/>
  <c r="AL12" i="4" s="1"/>
  <c r="AJ37" i="4"/>
  <c r="AL37" i="4" s="1"/>
  <c r="AJ41" i="4"/>
  <c r="AL41" i="4" s="1"/>
  <c r="AJ51" i="4"/>
  <c r="AL51" i="4" s="1"/>
  <c r="AJ6" i="4"/>
  <c r="AL6" i="4" s="1"/>
  <c r="AJ10" i="4"/>
  <c r="AL10" i="4" s="1"/>
  <c r="AJ14" i="4"/>
  <c r="AL14" i="4" s="1"/>
  <c r="AJ67" i="4"/>
  <c r="AL67" i="4" s="1"/>
  <c r="AJ22" i="4"/>
  <c r="AL22" i="4" s="1"/>
  <c r="AJ26" i="4"/>
  <c r="AL26" i="4" s="1"/>
  <c r="AJ30" i="4"/>
  <c r="AL30" i="4" s="1"/>
  <c r="AJ34" i="4"/>
  <c r="AL34" i="4" s="1"/>
  <c r="AJ42" i="4"/>
  <c r="AL42" i="4" s="1"/>
  <c r="AJ46" i="4"/>
  <c r="AL46" i="4" s="1"/>
  <c r="AJ50" i="4"/>
  <c r="AL50" i="4" s="1"/>
  <c r="AJ54" i="4"/>
  <c r="AL54" i="4" s="1"/>
  <c r="AJ62" i="4"/>
  <c r="AL62" i="4" s="1"/>
  <c r="AJ66" i="4"/>
  <c r="AL66" i="4" s="1"/>
  <c r="AJ70" i="4"/>
  <c r="AL70" i="4" s="1"/>
  <c r="V72" i="4"/>
  <c r="AJ9" i="4"/>
  <c r="AL9" i="4" s="1"/>
  <c r="AJ13" i="4"/>
  <c r="AL13" i="4" s="1"/>
  <c r="AJ5" i="4"/>
  <c r="AL5" i="4" s="1"/>
  <c r="AJ29" i="4"/>
  <c r="AL29" i="4" s="1"/>
  <c r="AJ33" i="4"/>
  <c r="AL33" i="4" s="1"/>
  <c r="X72" i="4"/>
  <c r="AJ25" i="4"/>
  <c r="AL25" i="4" s="1"/>
  <c r="AJ49" i="4"/>
  <c r="AL49" i="4" s="1"/>
  <c r="AJ53" i="4"/>
  <c r="AL53" i="4" s="1"/>
  <c r="Y72" i="4"/>
  <c r="AJ11" i="4"/>
  <c r="AL11" i="4" s="1"/>
  <c r="AJ45" i="4"/>
  <c r="AL45" i="4" s="1"/>
  <c r="AJ69" i="4"/>
  <c r="AL69" i="4" s="1"/>
  <c r="Z72" i="4"/>
  <c r="AJ17" i="4"/>
  <c r="AL17" i="4" s="1"/>
  <c r="AJ21" i="4"/>
  <c r="AL21" i="4" s="1"/>
  <c r="AJ31" i="4"/>
  <c r="AL31" i="4" s="1"/>
  <c r="AJ65" i="4"/>
  <c r="AL65" i="4" s="1"/>
  <c r="AJ8" i="3"/>
  <c r="AL8" i="3" s="1"/>
  <c r="W72" i="4"/>
  <c r="AJ72" i="4" l="1"/>
  <c r="AJ72" i="3"/>
  <c r="A5" i="4" l="1"/>
  <c r="C5" i="4" s="1"/>
  <c r="D5" i="4" s="1"/>
  <c r="E5" i="4" s="1"/>
  <c r="AL72" i="4"/>
  <c r="A5" i="3"/>
  <c r="C5" i="3" s="1"/>
  <c r="D5" i="3" s="1"/>
  <c r="E5" i="3" s="1"/>
  <c r="AL72" i="3"/>
</calcChain>
</file>

<file path=xl/sharedStrings.xml><?xml version="1.0" encoding="utf-8"?>
<sst xmlns="http://schemas.openxmlformats.org/spreadsheetml/2006/main" count="424" uniqueCount="203">
  <si>
    <t>Proyecciones 2026 — Encuestas y Chalecos Azules</t>
  </si>
  <si>
    <t>Indicadores clave</t>
  </si>
  <si>
    <t>Chalecos Activos 2026 (1Q Junio)</t>
  </si>
  <si>
    <t>Bajas Registradas</t>
  </si>
  <si>
    <t>Encuestas Oficiales 2026 (Mayo)</t>
  </si>
  <si>
    <t>312</t>
  </si>
  <si>
    <t>795</t>
  </si>
  <si>
    <t>20,634</t>
  </si>
  <si>
    <t>61,520</t>
  </si>
  <si>
    <t>46,586</t>
  </si>
  <si>
    <t>36,764</t>
  </si>
  <si>
    <t>Población 18+ de Chihuahua (INEGI)</t>
  </si>
  <si>
    <t>2,818,396</t>
  </si>
  <si>
    <t>Simulación Total 2026 — Ritmo Simulado 2025</t>
  </si>
  <si>
    <t>Chalecos Estatal 2026 (real 2Q marzo-2Q mayo, modelo de recuperación desde 1Q junio)</t>
  </si>
  <si>
    <t>Promedio Quincenal</t>
  </si>
  <si>
    <t>Chalecos Promedio</t>
  </si>
  <si>
    <t>Encuestas por quincena</t>
  </si>
  <si>
    <t>Encuestas por semana</t>
  </si>
  <si>
    <t>Encuestas por dia</t>
  </si>
  <si>
    <t>Municipio</t>
  </si>
  <si>
    <t>Chalecos 2026 (ajustado, total real 313 tras redondeo de 312 confirmado)</t>
  </si>
  <si>
    <t>Participación HOY (% del total, solo referencia)</t>
  </si>
  <si>
    <t>Participación Mayo (ancla de la recuperación futura)</t>
  </si>
  <si>
    <t>Chalecos 2025 (referencia)</t>
  </si>
  <si>
    <t>2Q enero 2026 (real, sin equiv. 2025)</t>
  </si>
  <si>
    <t>1Q febrero 2026 (real, sin equiv. 2025)</t>
  </si>
  <si>
    <t>2Q febrero 2026 (real, sin equiv. 2025)</t>
  </si>
  <si>
    <t>1Q marzo 2026 (real, sin equiv. 2025)</t>
  </si>
  <si>
    <t>Subtotal enero-marzo (fuera de comparación con 2025)</t>
  </si>
  <si>
    <t>2Q marzo</t>
  </si>
  <si>
    <t>1Q abril</t>
  </si>
  <si>
    <t>2Q abril</t>
  </si>
  <si>
    <t>1Q mayo</t>
  </si>
  <si>
    <t>2Q mayo</t>
  </si>
  <si>
    <t>1Q junio</t>
  </si>
  <si>
    <t>2Q junio</t>
  </si>
  <si>
    <t>1Q julio</t>
  </si>
  <si>
    <t>2Q julio</t>
  </si>
  <si>
    <t>1Q agosto</t>
  </si>
  <si>
    <t>2Q agosto</t>
  </si>
  <si>
    <t>1Q septiembre</t>
  </si>
  <si>
    <t>2Q septiembre</t>
  </si>
  <si>
    <t>1Q octubre</t>
  </si>
  <si>
    <t>2Q octubre</t>
  </si>
  <si>
    <t>1Q noviembre</t>
  </si>
  <si>
    <t>2Q noviembre</t>
  </si>
  <si>
    <t>1Q diciembre</t>
  </si>
  <si>
    <t>2Q diciembre</t>
  </si>
  <si>
    <t>Total Anual 2026 (19 quincenas, comparable con 2025)</t>
  </si>
  <si>
    <t>Pob18+</t>
  </si>
  <si>
    <t>Diferencia</t>
  </si>
  <si>
    <t>Juarez</t>
  </si>
  <si>
    <t>Chihuahua</t>
  </si>
  <si>
    <t>Cuauhtemoc</t>
  </si>
  <si>
    <t>Delicias</t>
  </si>
  <si>
    <t>Hidalgo Del Parral</t>
  </si>
  <si>
    <t>Nuevo Casas Grandes</t>
  </si>
  <si>
    <t>Camargo</t>
  </si>
  <si>
    <t>Guachochi</t>
  </si>
  <si>
    <t>Meoqui</t>
  </si>
  <si>
    <t>Guadalupe Y Calvo</t>
  </si>
  <si>
    <t>Jimenez</t>
  </si>
  <si>
    <t>Guerrero</t>
  </si>
  <si>
    <t>Saucillo</t>
  </si>
  <si>
    <t>Aldama</t>
  </si>
  <si>
    <t>Ojinaga</t>
  </si>
  <si>
    <t>Madera</t>
  </si>
  <si>
    <t>Aquiles Serdan</t>
  </si>
  <si>
    <t>Ascension</t>
  </si>
  <si>
    <t>Buenaventura</t>
  </si>
  <si>
    <t>Namiquipa</t>
  </si>
  <si>
    <t>Bocoyna</t>
  </si>
  <si>
    <t>Rosales</t>
  </si>
  <si>
    <t>Balleza</t>
  </si>
  <si>
    <t>Ahumada</t>
  </si>
  <si>
    <t>Urique</t>
  </si>
  <si>
    <t>Santa Barbara</t>
  </si>
  <si>
    <t>Casas Grandes</t>
  </si>
  <si>
    <t>Janos</t>
  </si>
  <si>
    <t>Batopilas De Manuel Gomez Morin</t>
  </si>
  <si>
    <t>Guazapares</t>
  </si>
  <si>
    <t>Allende</t>
  </si>
  <si>
    <t>Morelos</t>
  </si>
  <si>
    <t>Gomez Farias</t>
  </si>
  <si>
    <t>Ocampo</t>
  </si>
  <si>
    <t>Riva Palacio</t>
  </si>
  <si>
    <t>Carichi</t>
  </si>
  <si>
    <t>Bachiniva</t>
  </si>
  <si>
    <t>Galeana</t>
  </si>
  <si>
    <t>Ignacio Zaragoza</t>
  </si>
  <si>
    <t>Chinipas</t>
  </si>
  <si>
    <t>Temosachic</t>
  </si>
  <si>
    <t>Praxedis G. Guerrero</t>
  </si>
  <si>
    <t>Julimes</t>
  </si>
  <si>
    <t>Valle De Zaragoza</t>
  </si>
  <si>
    <t>San Francisco Del Oro</t>
  </si>
  <si>
    <t>Uruachi</t>
  </si>
  <si>
    <t>Moris</t>
  </si>
  <si>
    <t>Matamoros</t>
  </si>
  <si>
    <t>Cusihuiriachi</t>
  </si>
  <si>
    <t>Lopez</t>
  </si>
  <si>
    <t>Santa Isabel</t>
  </si>
  <si>
    <t>Guadalupe</t>
  </si>
  <si>
    <t>Satevo</t>
  </si>
  <si>
    <t>La Cruz</t>
  </si>
  <si>
    <t>Nonoava</t>
  </si>
  <si>
    <t>Matachi</t>
  </si>
  <si>
    <t>San Francisco De Conchos</t>
  </si>
  <si>
    <t>Gran Morelos</t>
  </si>
  <si>
    <t>Dr. Belisario Dominguez</t>
  </si>
  <si>
    <t>San Francisco De Borja</t>
  </si>
  <si>
    <t>Rosario</t>
  </si>
  <si>
    <t>Coronado</t>
  </si>
  <si>
    <t>El Tule</t>
  </si>
  <si>
    <t>Manuel Benavides</t>
  </si>
  <si>
    <t>Coyame Del Sotol</t>
  </si>
  <si>
    <t>Maguarichi</t>
  </si>
  <si>
    <t>Huejotitan</t>
  </si>
  <si>
    <t>TOTAL ESTATAL</t>
  </si>
  <si>
    <t>Simulación Total 2026 — Ritmo Real 2025</t>
  </si>
  <si>
    <t>Escala el LOGRO real de 2025 ('Proyeccion vs Real', lo que de verdad se hizo) por el headcount real de 2026 — mismo método que 'Simulación Total 2026', pero con un piso más conservador y honesto. Nueva a pedido del usuario 2026-07-10, no reemplaza a la anterior.</t>
  </si>
  <si>
    <t>Chalecos Activos — Serie Histórica</t>
  </si>
  <si>
    <t>Real (2025-2026) + modelo de recuperación post-baja (precedente 2025) para las 14 quincenas futuras</t>
  </si>
  <si>
    <t>Quincena</t>
  </si>
  <si>
    <t>Chalecos Activos</t>
  </si>
  <si>
    <t>Fuente</t>
  </si>
  <si>
    <t>Nota</t>
  </si>
  <si>
    <t>2Q marzo 2025</t>
  </si>
  <si>
    <t>Real</t>
  </si>
  <si>
    <t>1Q abril 2025</t>
  </si>
  <si>
    <t>2Q abril 2025</t>
  </si>
  <si>
    <t>1Q mayo 2025</t>
  </si>
  <si>
    <t>2Q mayo 2025</t>
  </si>
  <si>
    <t>1Q junio 2025</t>
  </si>
  <si>
    <t>2Q junio 2025</t>
  </si>
  <si>
    <t>1Q julio 2025</t>
  </si>
  <si>
    <t>2Q julio 2025</t>
  </si>
  <si>
    <t>1Q agosto 2025</t>
  </si>
  <si>
    <t>2Q agosto 2025</t>
  </si>
  <si>
    <t>1Q septiembre 2025</t>
  </si>
  <si>
    <t>2Q septiembre 2025</t>
  </si>
  <si>
    <t>1Q octubre 2025</t>
  </si>
  <si>
    <t>2Q octubre 2025</t>
  </si>
  <si>
    <t>1Q noviembre 2025</t>
  </si>
  <si>
    <t>2Q noviembre 2025</t>
  </si>
  <si>
    <t>1Q diciembre 2025</t>
  </si>
  <si>
    <t>2Q diciembre 2025</t>
  </si>
  <si>
    <t>1Q enero 2026</t>
  </si>
  <si>
    <t>1Q febrero 2026</t>
  </si>
  <si>
    <t>1Q marzo 2026</t>
  </si>
  <si>
    <t>2Q marzo 2026</t>
  </si>
  <si>
    <t>1Q abril 2026</t>
  </si>
  <si>
    <t>2Q abril 2026</t>
  </si>
  <si>
    <t>1Q mayo 2026</t>
  </si>
  <si>
    <t>2Q mayo 2026</t>
  </si>
  <si>
    <t>Última quincena antes del ajuste presupuestal</t>
  </si>
  <si>
    <t>1Q junio 2026</t>
  </si>
  <si>
    <t>Caída real por ajuste presupuestal (717 → 312, -56%). 795 bajas definitivas confirmadas</t>
  </si>
  <si>
    <t>Modelado</t>
  </si>
  <si>
    <t>2Q junio 2026</t>
  </si>
  <si>
    <t>1Q julio 2026</t>
  </si>
  <si>
    <t>2Q julio 2026</t>
  </si>
  <si>
    <t>1Q agosto 2026</t>
  </si>
  <si>
    <t>2Q agosto 2026</t>
  </si>
  <si>
    <t>1Q septiembre 2026</t>
  </si>
  <si>
    <t>2Q septiembre 2026</t>
  </si>
  <si>
    <t>1Q octubre 2026</t>
  </si>
  <si>
    <t>2Q octubre 2026</t>
  </si>
  <si>
    <t>1Q noviembre 2026</t>
  </si>
  <si>
    <t>2Q noviembre 2026</t>
  </si>
  <si>
    <t>1Q diciembre 2026</t>
  </si>
  <si>
    <t>2Q diciembre 2026</t>
  </si>
  <si>
    <t>Proyección por Municipio 2026</t>
  </si>
  <si>
    <t>Comparación: ritmo simulado 2025 vs ritmo real 2025 vs avance real vs proyección calibrada, por municipio</t>
  </si>
  <si>
    <t>Población 18+</t>
  </si>
  <si>
    <t>Chalecos 2025</t>
  </si>
  <si>
    <t>Participación (%)</t>
  </si>
  <si>
    <t>Anomalías a revisar</t>
  </si>
  <si>
    <t>Real 2025</t>
  </si>
  <si>
    <t>Proyectado 2025 (simulación)</t>
  </si>
  <si>
    <t>Revisar: tiene chalecos activos, cero encuestas reportadas</t>
  </si>
  <si>
    <t>Chalecos activos 
Junio 2026</t>
  </si>
  <si>
    <t>Participación HOY (% del total)</t>
  </si>
  <si>
    <t>2Q enero</t>
  </si>
  <si>
    <t xml:space="preserve">1Q febrero </t>
  </si>
  <si>
    <t xml:space="preserve">2Q febrero 2026 </t>
  </si>
  <si>
    <t>1Q marzo</t>
  </si>
  <si>
    <t>COMPARATIVA 2025 SIMULADO</t>
  </si>
  <si>
    <t>COMPARATIVA 2025 REAL</t>
  </si>
  <si>
    <t>Total Anual Encuestas 2026 - Según lo esperado en 2025</t>
  </si>
  <si>
    <t>Total Anual Encuestas 2026 - Según lo logrado en 2025</t>
  </si>
  <si>
    <t>Logrado/Esperado</t>
  </si>
  <si>
    <t>Proyección Anual 2026 (Con base en lo logrado 2025)</t>
  </si>
  <si>
    <t>Proyeccion Anual 2026 (Con base en lo esperado 2025)</t>
  </si>
  <si>
    <t>Proyección Anual 2026 (Con base en el ritmo llevado 2026)</t>
  </si>
  <si>
    <t>Participación hasta Mayo</t>
  </si>
  <si>
    <t xml:space="preserve"># Chalecos </t>
  </si>
  <si>
    <t>Proyectado</t>
  </si>
  <si>
    <t>Chalecos activos 2026</t>
  </si>
  <si>
    <t>Chalecos hist. 2026
(activos/no activos/bajas)</t>
  </si>
  <si>
    <t>Encuestas 2026 a corte (oficial)</t>
  </si>
  <si>
    <t>Total Anual Encuestas 2026 - Según ritmo llevado en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</si>
</sst>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555555"/>
      <name val="Calibri"/>
    </font>
    <font>
      <b/>
      <sz val="12"/>
      <color rgb="FF044D98"/>
      <name val="Calibri"/>
    </font>
    <font>
      <sz val="11"/>
      <color rgb="FF555555"/>
      <name val="Calibri"/>
    </font>
    <font>
      <b/>
      <sz val="20"/>
      <color rgb="FF044D98"/>
      <name val="Calibri"/>
    </font>
    <font>
      <sz val="10"/>
      <color rgb="FF333333"/>
      <name val="Calibri"/>
    </font>
    <font>
      <b/>
      <sz val="10"/>
      <color rgb="FFFFFFFF"/>
      <name val="Calibri"/>
    </font>
    <font>
      <i/>
      <sz val="9"/>
      <color rgb="FF555555"/>
      <name val="Calibri"/>
    </font>
    <font>
      <i/>
      <sz val="10"/>
      <color rgb="FF1A5276"/>
      <name val="Calibri"/>
    </font>
    <font>
      <b/>
      <sz val="11"/>
      <name val="Calibri"/>
    </font>
    <font>
      <sz val="11"/>
      <color rgb="FF9C4500"/>
      <name val="Calibri"/>
    </font>
    <font>
      <b/>
      <sz val="11"/>
      <color rgb="FF9C4500"/>
      <name val="Calibri"/>
    </font>
    <font>
      <sz val="9"/>
      <color rgb="FF9C4500"/>
      <name val="Calibri"/>
    </font>
    <font>
      <b/>
      <sz val="10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44D98"/>
      </patternFill>
    </fill>
    <fill>
      <patternFill patternType="solid">
        <fgColor rgb="FFEAF1FB"/>
      </patternFill>
    </fill>
    <fill>
      <patternFill patternType="solid">
        <fgColor rgb="FFFFF6E5"/>
      </patternFill>
    </fill>
    <fill>
      <patternFill patternType="solid">
        <fgColor rgb="FFF2F2F2"/>
      </patternFill>
    </fill>
    <fill>
      <patternFill patternType="solid">
        <fgColor rgb="FFFDEBD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8" fillId="0" borderId="0" xfId="0" applyFont="1"/>
    <xf numFmtId="3" fontId="9" fillId="4" borderId="0" xfId="0" applyNumberFormat="1" applyFont="1" applyFill="1"/>
    <xf numFmtId="3" fontId="9" fillId="3" borderId="0" xfId="0" applyNumberFormat="1" applyFont="1" applyFill="1"/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0" fontId="0" fillId="4" borderId="1" xfId="0" applyNumberFormat="1" applyFill="1" applyBorder="1"/>
    <xf numFmtId="3" fontId="0" fillId="4" borderId="1" xfId="0" applyNumberFormat="1" applyFill="1" applyBorder="1"/>
    <xf numFmtId="0" fontId="0" fillId="5" borderId="1" xfId="0" applyFill="1" applyBorder="1"/>
    <xf numFmtId="3" fontId="0" fillId="5" borderId="1" xfId="0" applyNumberFormat="1" applyFill="1" applyBorder="1"/>
    <xf numFmtId="0" fontId="10" fillId="0" borderId="1" xfId="0" applyFont="1" applyBorder="1"/>
    <xf numFmtId="3" fontId="10" fillId="0" borderId="1" xfId="0" applyNumberFormat="1" applyFont="1" applyBorder="1"/>
    <xf numFmtId="10" fontId="10" fillId="0" borderId="1" xfId="0" applyNumberFormat="1" applyFont="1" applyBorder="1"/>
    <xf numFmtId="0" fontId="11" fillId="6" borderId="1" xfId="0" applyFont="1" applyFill="1" applyBorder="1"/>
    <xf numFmtId="3" fontId="12" fillId="6" borderId="1" xfId="0" applyNumberFormat="1" applyFont="1" applyFill="1" applyBorder="1"/>
    <xf numFmtId="0" fontId="0" fillId="3" borderId="1" xfId="0" applyFill="1" applyBorder="1"/>
    <xf numFmtId="3" fontId="0" fillId="3" borderId="1" xfId="0" applyNumberFormat="1" applyFill="1" applyBorder="1"/>
    <xf numFmtId="164" fontId="0" fillId="0" borderId="1" xfId="0" applyNumberFormat="1" applyBorder="1"/>
    <xf numFmtId="164" fontId="0" fillId="5" borderId="1" xfId="0" applyNumberFormat="1" applyFill="1" applyBorder="1"/>
    <xf numFmtId="0" fontId="13" fillId="6" borderId="1" xfId="0" applyFont="1" applyFill="1" applyBorder="1"/>
    <xf numFmtId="164" fontId="10" fillId="0" borderId="1" xfId="0" applyNumberFormat="1" applyFont="1" applyBorder="1"/>
    <xf numFmtId="3" fontId="0" fillId="0" borderId="0" xfId="0" applyNumberFormat="1"/>
    <xf numFmtId="1" fontId="9" fillId="3" borderId="1" xfId="0" applyNumberFormat="1" applyFont="1" applyFill="1" applyBorder="1"/>
    <xf numFmtId="3" fontId="9" fillId="3" borderId="1" xfId="0" applyNumberFormat="1" applyFont="1" applyFill="1" applyBorder="1"/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 applyAlignment="1">
      <alignment horizontal="left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6" fillId="0" borderId="0" xfId="0" applyFont="1" applyAlignment="1">
      <alignment vertical="top" wrapText="1"/>
    </xf>
    <xf numFmtId="0" fontId="5" fillId="3" borderId="0" xfId="0" applyFont="1" applyFill="1" applyAlignment="1">
      <alignment horizontal="left" vertical="center"/>
    </xf>
    <xf numFmtId="0" fontId="0" fillId="3" borderId="0" xfId="0" applyFill="1"/>
    <xf numFmtId="0" fontId="4" fillId="3" borderId="0" xfId="0" applyFont="1" applyFill="1" applyAlignment="1">
      <alignment horizontal="left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0" xfId="0" applyFont="1" applyAlignment="1"/>
    <xf numFmtId="0" fontId="0" fillId="0" borderId="0" xfId="0" applyAlignment="1"/>
    <xf numFmtId="0" fontId="15" fillId="0" borderId="0" xfId="0" applyFont="1" applyAlignment="1"/>
    <xf numFmtId="0" fontId="1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an%20S\Documents\GitHub\Cerebro-Virtual-Kyuvv\Cerebro%20Digital\02-Proyectos\Activos\SDHyBC\Dise&#241;o%20UI-UX%20(Portales%20y%20Apps)\trabajos\T1%20Chalecos%20Azules%20Portal%20de%20Proyeccion\datos\Encuestas%20y%20Chalecos%202025.xlsx" TargetMode="External"/><Relationship Id="rId1" Type="http://schemas.openxmlformats.org/officeDocument/2006/relationships/externalLinkPath" Target="Encuestas%20y%20Chalecos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lacion"/>
      <sheetName val="Poblacion +18"/>
      <sheetName val="Proyeccion Anual 2025"/>
      <sheetName val="Proyeccion Anual Municipio"/>
      <sheetName val="Proyeccion vs Real"/>
      <sheetName val="Simulacion total"/>
    </sheetNames>
    <sheetDataSet>
      <sheetData sheetId="0"/>
      <sheetData sheetId="1"/>
      <sheetData sheetId="2"/>
      <sheetData sheetId="3"/>
      <sheetData sheetId="4"/>
      <sheetData sheetId="5">
        <row r="62">
          <cell r="H62">
            <v>695</v>
          </cell>
          <cell r="I62">
            <v>17648</v>
          </cell>
          <cell r="J62">
            <v>26368</v>
          </cell>
          <cell r="K62">
            <v>27847</v>
          </cell>
          <cell r="L62">
            <v>28745</v>
          </cell>
          <cell r="M62">
            <v>30181</v>
          </cell>
          <cell r="N62">
            <v>30595</v>
          </cell>
          <cell r="O62">
            <v>30289</v>
          </cell>
          <cell r="P62">
            <v>29635</v>
          </cell>
          <cell r="Q62">
            <v>29913</v>
          </cell>
          <cell r="R62">
            <v>27435</v>
          </cell>
          <cell r="S62">
            <v>28177</v>
          </cell>
          <cell r="T62">
            <v>19500</v>
          </cell>
          <cell r="U62">
            <v>18000</v>
          </cell>
          <cell r="V62">
            <v>16500</v>
          </cell>
          <cell r="W62">
            <v>15000</v>
          </cell>
          <cell r="X62">
            <v>14000</v>
          </cell>
          <cell r="Y62">
            <v>12500</v>
          </cell>
          <cell r="Z62">
            <v>12000</v>
          </cell>
          <cell r="AA62">
            <v>22568</v>
          </cell>
          <cell r="AB62">
            <v>436901</v>
          </cell>
          <cell r="AC62">
            <v>2802306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showGridLines="0" workbookViewId="0">
      <selection activeCell="B26" sqref="B26"/>
    </sheetView>
  </sheetViews>
  <sheetFormatPr baseColWidth="10" defaultColWidth="8.88671875" defaultRowHeight="14.4" x14ac:dyDescent="0.3"/>
  <cols>
    <col min="1" max="1" width="32" customWidth="1"/>
    <col min="2" max="3" width="16" customWidth="1"/>
    <col min="4" max="4" width="29.21875" customWidth="1"/>
    <col min="5" max="5" width="16" customWidth="1"/>
    <col min="6" max="6" width="36.5546875" customWidth="1"/>
  </cols>
  <sheetData>
    <row r="1" spans="1:6" ht="30" customHeight="1" x14ac:dyDescent="0.3">
      <c r="A1" s="32" t="s">
        <v>0</v>
      </c>
      <c r="B1" s="33"/>
      <c r="C1" s="33"/>
      <c r="D1" s="33"/>
      <c r="E1" s="33"/>
      <c r="F1" s="33"/>
    </row>
    <row r="2" spans="1:6" ht="18" customHeight="1" x14ac:dyDescent="0.3">
      <c r="A2" s="30"/>
      <c r="B2" s="31"/>
      <c r="C2" s="31"/>
      <c r="D2" s="31"/>
      <c r="E2" s="31"/>
      <c r="F2" s="31"/>
    </row>
    <row r="4" spans="1:6" ht="15.6" x14ac:dyDescent="0.3">
      <c r="A4" s="1" t="s">
        <v>1</v>
      </c>
    </row>
    <row r="5" spans="1:6" x14ac:dyDescent="0.3">
      <c r="A5" s="37" t="s">
        <v>2</v>
      </c>
      <c r="B5" s="36"/>
      <c r="C5" s="37" t="s">
        <v>3</v>
      </c>
      <c r="D5" s="36"/>
      <c r="E5" s="37" t="s">
        <v>4</v>
      </c>
      <c r="F5" s="36"/>
    </row>
    <row r="6" spans="1:6" x14ac:dyDescent="0.3">
      <c r="A6" s="35" t="s">
        <v>5</v>
      </c>
      <c r="B6" s="36"/>
      <c r="C6" s="35" t="s">
        <v>6</v>
      </c>
      <c r="D6" s="36"/>
      <c r="E6" s="35" t="s">
        <v>7</v>
      </c>
      <c r="F6" s="36"/>
    </row>
    <row r="7" spans="1:6" x14ac:dyDescent="0.3">
      <c r="A7" s="36"/>
      <c r="B7" s="36"/>
      <c r="C7" s="36"/>
      <c r="D7" s="36"/>
      <c r="E7" s="36"/>
      <c r="F7" s="36"/>
    </row>
    <row r="9" spans="1:6" x14ac:dyDescent="0.3">
      <c r="A9" s="37" t="s">
        <v>194</v>
      </c>
      <c r="B9" s="36"/>
      <c r="C9" s="37" t="s">
        <v>193</v>
      </c>
      <c r="D9" s="36"/>
      <c r="E9" s="37" t="s">
        <v>195</v>
      </c>
      <c r="F9" s="36"/>
    </row>
    <row r="10" spans="1:6" x14ac:dyDescent="0.3">
      <c r="A10" s="35" t="s">
        <v>8</v>
      </c>
      <c r="B10" s="36"/>
      <c r="C10" s="35" t="s">
        <v>9</v>
      </c>
      <c r="D10" s="36"/>
      <c r="E10" s="35" t="s">
        <v>10</v>
      </c>
      <c r="F10" s="36"/>
    </row>
    <row r="11" spans="1:6" x14ac:dyDescent="0.3">
      <c r="A11" s="36"/>
      <c r="B11" s="36"/>
      <c r="C11" s="36"/>
      <c r="D11" s="36"/>
      <c r="E11" s="36"/>
      <c r="F11" s="36"/>
    </row>
    <row r="13" spans="1:6" x14ac:dyDescent="0.3">
      <c r="A13" s="37" t="s">
        <v>11</v>
      </c>
      <c r="B13" s="36"/>
    </row>
    <row r="14" spans="1:6" x14ac:dyDescent="0.3">
      <c r="A14" s="35" t="s">
        <v>12</v>
      </c>
      <c r="B14" s="36"/>
    </row>
    <row r="15" spans="1:6" x14ac:dyDescent="0.3">
      <c r="A15" s="36"/>
      <c r="B15" s="36"/>
    </row>
    <row r="19" spans="1:6" ht="15.6" x14ac:dyDescent="0.3">
      <c r="A19" s="1"/>
    </row>
    <row r="20" spans="1:6" x14ac:dyDescent="0.3">
      <c r="A20" s="34"/>
      <c r="B20" s="31"/>
      <c r="C20" s="31"/>
      <c r="D20" s="31"/>
      <c r="E20" s="31"/>
      <c r="F20" s="31"/>
    </row>
    <row r="21" spans="1:6" x14ac:dyDescent="0.3">
      <c r="A21" s="31"/>
      <c r="B21" s="31"/>
      <c r="C21" s="31"/>
      <c r="D21" s="31"/>
      <c r="E21" s="31"/>
      <c r="F21" s="31"/>
    </row>
    <row r="22" spans="1:6" x14ac:dyDescent="0.3">
      <c r="A22" s="31"/>
      <c r="B22" s="31"/>
      <c r="C22" s="31"/>
      <c r="D22" s="31"/>
      <c r="E22" s="31"/>
      <c r="F22" s="31"/>
    </row>
    <row r="23" spans="1:6" x14ac:dyDescent="0.3">
      <c r="A23" s="31"/>
      <c r="B23" s="31"/>
      <c r="C23" s="31"/>
      <c r="D23" s="31"/>
      <c r="E23" s="31"/>
      <c r="F23" s="31"/>
    </row>
    <row r="24" spans="1:6" x14ac:dyDescent="0.3">
      <c r="A24" s="31"/>
      <c r="B24" s="31"/>
      <c r="C24" s="31"/>
      <c r="D24" s="31"/>
      <c r="E24" s="31"/>
      <c r="F24" s="31"/>
    </row>
    <row r="25" spans="1:6" x14ac:dyDescent="0.3">
      <c r="A25" s="31"/>
      <c r="B25" s="31"/>
      <c r="C25" s="31"/>
      <c r="D25" s="31"/>
      <c r="E25" s="31"/>
      <c r="F25" s="31"/>
    </row>
    <row r="27" spans="1:6" ht="15.6" x14ac:dyDescent="0.3">
      <c r="A27" s="1"/>
    </row>
    <row r="28" spans="1:6" x14ac:dyDescent="0.3">
      <c r="A28" s="34"/>
      <c r="B28" s="31"/>
      <c r="C28" s="31"/>
      <c r="D28" s="31"/>
      <c r="E28" s="31"/>
      <c r="F28" s="31"/>
    </row>
    <row r="29" spans="1:6" x14ac:dyDescent="0.3">
      <c r="A29" s="31"/>
      <c r="B29" s="31"/>
      <c r="C29" s="31"/>
      <c r="D29" s="31"/>
      <c r="E29" s="31"/>
      <c r="F29" s="31"/>
    </row>
    <row r="30" spans="1:6" x14ac:dyDescent="0.3">
      <c r="A30" s="31"/>
      <c r="B30" s="31"/>
      <c r="C30" s="31"/>
      <c r="D30" s="31"/>
      <c r="E30" s="31"/>
      <c r="F30" s="31"/>
    </row>
    <row r="31" spans="1:6" x14ac:dyDescent="0.3">
      <c r="A31" s="31"/>
      <c r="B31" s="31"/>
      <c r="C31" s="31"/>
      <c r="D31" s="31"/>
      <c r="E31" s="31"/>
      <c r="F31" s="31"/>
    </row>
    <row r="32" spans="1:6" x14ac:dyDescent="0.3">
      <c r="A32" s="31"/>
      <c r="B32" s="31"/>
      <c r="C32" s="31"/>
      <c r="D32" s="31"/>
      <c r="E32" s="31"/>
      <c r="F32" s="31"/>
    </row>
    <row r="33" spans="1:6" x14ac:dyDescent="0.3">
      <c r="A33" s="31"/>
      <c r="B33" s="31"/>
      <c r="C33" s="31"/>
      <c r="D33" s="31"/>
      <c r="E33" s="31"/>
      <c r="F33" s="31"/>
    </row>
    <row r="34" spans="1:6" x14ac:dyDescent="0.3">
      <c r="A34" s="31"/>
      <c r="B34" s="31"/>
      <c r="C34" s="31"/>
      <c r="D34" s="31"/>
      <c r="E34" s="31"/>
      <c r="F34" s="31"/>
    </row>
    <row r="36" spans="1:6" ht="15.6" x14ac:dyDescent="0.3">
      <c r="A36" s="1"/>
    </row>
    <row r="37" spans="1:6" x14ac:dyDescent="0.3">
      <c r="A37" s="34"/>
      <c r="B37" s="31"/>
      <c r="C37" s="31"/>
      <c r="D37" s="31"/>
      <c r="E37" s="31"/>
      <c r="F37" s="31"/>
    </row>
    <row r="38" spans="1:6" x14ac:dyDescent="0.3">
      <c r="A38" s="31"/>
      <c r="B38" s="31"/>
      <c r="C38" s="31"/>
      <c r="D38" s="31"/>
      <c r="E38" s="31"/>
      <c r="F38" s="31"/>
    </row>
    <row r="39" spans="1:6" x14ac:dyDescent="0.3">
      <c r="A39" s="31"/>
      <c r="B39" s="31"/>
      <c r="C39" s="31"/>
      <c r="D39" s="31"/>
      <c r="E39" s="31"/>
      <c r="F39" s="31"/>
    </row>
    <row r="40" spans="1:6" x14ac:dyDescent="0.3">
      <c r="A40" s="31"/>
      <c r="B40" s="31"/>
      <c r="C40" s="31"/>
      <c r="D40" s="31"/>
      <c r="E40" s="31"/>
      <c r="F40" s="31"/>
    </row>
    <row r="41" spans="1:6" x14ac:dyDescent="0.3">
      <c r="A41" s="31"/>
      <c r="B41" s="31"/>
      <c r="C41" s="31"/>
      <c r="D41" s="31"/>
      <c r="E41" s="31"/>
      <c r="F41" s="31"/>
    </row>
    <row r="43" spans="1:6" ht="15.6" x14ac:dyDescent="0.3">
      <c r="A43" s="1"/>
    </row>
    <row r="44" spans="1:6" x14ac:dyDescent="0.3">
      <c r="A44" s="34"/>
      <c r="B44" s="31"/>
      <c r="C44" s="31"/>
      <c r="D44" s="31"/>
      <c r="E44" s="31"/>
      <c r="F44" s="31"/>
    </row>
    <row r="45" spans="1:6" x14ac:dyDescent="0.3">
      <c r="A45" s="31"/>
      <c r="B45" s="31"/>
      <c r="C45" s="31"/>
      <c r="D45" s="31"/>
      <c r="E45" s="31"/>
      <c r="F45" s="31"/>
    </row>
    <row r="46" spans="1:6" x14ac:dyDescent="0.3">
      <c r="A46" s="31"/>
      <c r="B46" s="31"/>
      <c r="C46" s="31"/>
      <c r="D46" s="31"/>
      <c r="E46" s="31"/>
      <c r="F46" s="31"/>
    </row>
    <row r="47" spans="1:6" x14ac:dyDescent="0.3">
      <c r="A47" s="31"/>
      <c r="B47" s="31"/>
      <c r="C47" s="31"/>
      <c r="D47" s="31"/>
      <c r="E47" s="31"/>
      <c r="F47" s="31"/>
    </row>
    <row r="48" spans="1:6" x14ac:dyDescent="0.3">
      <c r="A48" s="31"/>
      <c r="B48" s="31"/>
      <c r="C48" s="31"/>
      <c r="D48" s="31"/>
      <c r="E48" s="31"/>
      <c r="F48" s="31"/>
    </row>
    <row r="49" spans="1:6" x14ac:dyDescent="0.3">
      <c r="A49" s="31"/>
      <c r="B49" s="31"/>
      <c r="C49" s="31"/>
      <c r="D49" s="31"/>
      <c r="E49" s="31"/>
      <c r="F49" s="31"/>
    </row>
  </sheetData>
  <mergeCells count="20">
    <mergeCell ref="A1:F1"/>
    <mergeCell ref="E10:F11"/>
    <mergeCell ref="A6:B7"/>
    <mergeCell ref="A13:B13"/>
    <mergeCell ref="A28:F34"/>
    <mergeCell ref="A20:F25"/>
    <mergeCell ref="A2:F2"/>
    <mergeCell ref="C6:D7"/>
    <mergeCell ref="A5:B5"/>
    <mergeCell ref="E6:F7"/>
    <mergeCell ref="C5:D5"/>
    <mergeCell ref="E5:F5"/>
    <mergeCell ref="A37:F41"/>
    <mergeCell ref="A44:F49"/>
    <mergeCell ref="A10:B11"/>
    <mergeCell ref="C9:D9"/>
    <mergeCell ref="E9:F9"/>
    <mergeCell ref="C10:D11"/>
    <mergeCell ref="A9:B9"/>
    <mergeCell ref="A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74"/>
  <sheetViews>
    <sheetView showGridLines="0" tabSelected="1" zoomScaleNormal="100" workbookViewId="0">
      <pane ySplit="4" topLeftCell="A5" activePane="bottomLeft" state="frozen"/>
      <selection pane="bottomLeft" activeCell="AJ75" sqref="AJ75"/>
    </sheetView>
  </sheetViews>
  <sheetFormatPr baseColWidth="10" defaultColWidth="8.88671875" defaultRowHeight="14.4" x14ac:dyDescent="0.3"/>
  <cols>
    <col min="1" max="1" width="16" customWidth="1"/>
    <col min="2" max="2" width="15" customWidth="1"/>
    <col min="3" max="3" width="16" customWidth="1"/>
    <col min="4" max="4" width="15" customWidth="1"/>
    <col min="5" max="5" width="13" customWidth="1"/>
    <col min="6" max="6" width="3" customWidth="1"/>
    <col min="7" max="7" width="40" customWidth="1"/>
    <col min="8" max="8" width="20" customWidth="1"/>
    <col min="9" max="9" width="16" customWidth="1"/>
    <col min="10" max="10" width="18" customWidth="1"/>
    <col min="11" max="11" width="15" customWidth="1"/>
    <col min="12" max="15" width="13" customWidth="1"/>
    <col min="16" max="16" width="16" customWidth="1"/>
    <col min="17" max="35" width="10" customWidth="1"/>
    <col min="36" max="36" width="14" customWidth="1"/>
    <col min="37" max="37" width="13" customWidth="1"/>
    <col min="38" max="38" width="14" customWidth="1"/>
  </cols>
  <sheetData>
    <row r="1" spans="1:38" ht="30" customHeight="1" x14ac:dyDescent="0.3">
      <c r="A1" s="32" t="s">
        <v>13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spans="1:38" ht="18" customHeight="1" x14ac:dyDescent="0.3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3" t="s">
        <v>197</v>
      </c>
      <c r="M2" s="41"/>
      <c r="N2" s="41"/>
      <c r="O2" s="41"/>
      <c r="P2" s="41"/>
      <c r="Q2" s="41"/>
      <c r="R2" s="41"/>
      <c r="S2" s="41"/>
      <c r="T2" s="41"/>
      <c r="U2" s="41"/>
      <c r="V2" s="42" t="s">
        <v>198</v>
      </c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38" x14ac:dyDescent="0.3">
      <c r="G3" s="2" t="s">
        <v>14</v>
      </c>
      <c r="L3" s="38">
        <v>663</v>
      </c>
      <c r="M3" s="39">
        <v>698</v>
      </c>
      <c r="N3" s="39">
        <v>698</v>
      </c>
      <c r="O3" s="39">
        <v>704</v>
      </c>
      <c r="Q3" s="3">
        <v>702</v>
      </c>
      <c r="R3" s="3">
        <v>712</v>
      </c>
      <c r="S3" s="3">
        <v>707</v>
      </c>
      <c r="T3" s="3">
        <v>710</v>
      </c>
      <c r="U3" s="3">
        <v>717</v>
      </c>
      <c r="V3" s="4">
        <v>312</v>
      </c>
      <c r="W3" s="4">
        <v>466</v>
      </c>
      <c r="X3" s="4">
        <v>492</v>
      </c>
      <c r="Y3" s="4">
        <v>508</v>
      </c>
      <c r="Z3" s="4">
        <v>533</v>
      </c>
      <c r="AA3" s="4">
        <v>541</v>
      </c>
      <c r="AB3" s="4">
        <v>535</v>
      </c>
      <c r="AC3" s="4">
        <v>541</v>
      </c>
      <c r="AD3" s="4">
        <v>541</v>
      </c>
      <c r="AE3" s="4">
        <v>536</v>
      </c>
      <c r="AF3" s="4">
        <v>534</v>
      </c>
      <c r="AG3" s="4">
        <v>541</v>
      </c>
      <c r="AH3" s="4">
        <v>547</v>
      </c>
      <c r="AI3" s="4">
        <v>544</v>
      </c>
    </row>
    <row r="4" spans="1:38" ht="69" x14ac:dyDescent="0.3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/>
      <c r="G4" s="5" t="s">
        <v>20</v>
      </c>
      <c r="H4" s="26" t="s">
        <v>182</v>
      </c>
      <c r="I4" s="26" t="s">
        <v>183</v>
      </c>
      <c r="J4" s="26" t="s">
        <v>196</v>
      </c>
      <c r="K4" s="5" t="s">
        <v>24</v>
      </c>
      <c r="L4" s="26" t="s">
        <v>184</v>
      </c>
      <c r="M4" s="27" t="s">
        <v>185</v>
      </c>
      <c r="N4" s="27" t="s">
        <v>186</v>
      </c>
      <c r="O4" s="27" t="s">
        <v>187</v>
      </c>
      <c r="P4" s="27" t="s">
        <v>29</v>
      </c>
      <c r="Q4" s="5" t="s">
        <v>30</v>
      </c>
      <c r="R4" s="5" t="s">
        <v>31</v>
      </c>
      <c r="S4" s="5" t="s">
        <v>32</v>
      </c>
      <c r="T4" s="5" t="s">
        <v>33</v>
      </c>
      <c r="U4" s="5" t="s">
        <v>34</v>
      </c>
      <c r="V4" s="5" t="s">
        <v>35</v>
      </c>
      <c r="W4" s="5" t="s">
        <v>36</v>
      </c>
      <c r="X4" s="5" t="s">
        <v>37</v>
      </c>
      <c r="Y4" s="5" t="s">
        <v>38</v>
      </c>
      <c r="Z4" s="5" t="s">
        <v>39</v>
      </c>
      <c r="AA4" s="5" t="s">
        <v>40</v>
      </c>
      <c r="AB4" s="5" t="s">
        <v>41</v>
      </c>
      <c r="AC4" s="5" t="s">
        <v>42</v>
      </c>
      <c r="AD4" s="5" t="s">
        <v>43</v>
      </c>
      <c r="AE4" s="5" t="s">
        <v>44</v>
      </c>
      <c r="AF4" s="5" t="s">
        <v>45</v>
      </c>
      <c r="AG4" s="5" t="s">
        <v>46</v>
      </c>
      <c r="AH4" s="5" t="s">
        <v>47</v>
      </c>
      <c r="AI4" s="5" t="s">
        <v>48</v>
      </c>
      <c r="AJ4" s="5" t="s">
        <v>49</v>
      </c>
      <c r="AK4" s="5" t="s">
        <v>50</v>
      </c>
      <c r="AL4" s="5" t="s">
        <v>51</v>
      </c>
    </row>
    <row r="5" spans="1:38" x14ac:dyDescent="0.3">
      <c r="A5" s="25">
        <f>AJ72/19</f>
        <v>3239.1277827601893</v>
      </c>
      <c r="B5" s="24">
        <f>AVERAGE(L3:AI3)</f>
        <v>586.17391304347825</v>
      </c>
      <c r="C5" s="24">
        <f>A5/B5</f>
        <v>5.5258818427150542</v>
      </c>
      <c r="D5" s="24">
        <f>C5/2</f>
        <v>2.7629409213575271</v>
      </c>
      <c r="E5" s="24">
        <f>D5/5</f>
        <v>0.55258818427150547</v>
      </c>
      <c r="F5" s="6"/>
      <c r="G5" s="6" t="s">
        <v>52</v>
      </c>
      <c r="H5" s="7">
        <v>55</v>
      </c>
      <c r="I5" s="8">
        <v>0.1751592356687898</v>
      </c>
      <c r="J5" s="8">
        <v>0.15232722143864599</v>
      </c>
      <c r="K5" s="9">
        <v>111</v>
      </c>
      <c r="L5" s="7">
        <v>0</v>
      </c>
      <c r="M5" s="7">
        <v>111</v>
      </c>
      <c r="N5" s="7">
        <v>224</v>
      </c>
      <c r="O5" s="7">
        <v>113</v>
      </c>
      <c r="P5" s="7">
        <f t="shared" ref="P5:P36" si="0">SUM(L5:O5)</f>
        <v>448</v>
      </c>
      <c r="Q5" s="7">
        <v>62</v>
      </c>
      <c r="R5" s="7">
        <v>99</v>
      </c>
      <c r="S5" s="7">
        <v>47</v>
      </c>
      <c r="T5" s="7">
        <v>68</v>
      </c>
      <c r="U5" s="7">
        <v>79</v>
      </c>
      <c r="V5" s="7">
        <f>U5*(1458/1482)*(V$3/U$3)</f>
        <v>33.819863466196878</v>
      </c>
      <c r="W5" s="7">
        <f>U5*(1456/1482)*(W$3/U$3)</f>
        <v>50.443710391739458</v>
      </c>
      <c r="X5" s="7">
        <f>U5*(1471/1482)*(X$3/U$3)</f>
        <v>53.806842500522301</v>
      </c>
      <c r="Y5" s="7">
        <f>U5*(1357/1482)*(Y$3/U$3)</f>
        <v>51.251111901629407</v>
      </c>
      <c r="Z5" s="7">
        <f>U5*(1449/1482)*(Z$3/U$3)</f>
        <v>57.418960581369738</v>
      </c>
      <c r="AA5" s="7">
        <f>U5*(1410/1482)*(AA$3/U$3)</f>
        <v>56.712149701579349</v>
      </c>
      <c r="AB5" s="7">
        <f>U5*(961/1482)*(AB$3/U$3)</f>
        <v>38.224067706010004</v>
      </c>
      <c r="AC5" s="7">
        <f>U5*(904/1482)*(AC$3/U$3)</f>
        <v>36.360130021438103</v>
      </c>
      <c r="AD5" s="7">
        <f>U5*(771/1482)*(AD$3/U$3)</f>
        <v>31.010686113416789</v>
      </c>
      <c r="AE5" s="7">
        <f>U5*(777/1482)*(AE$3/U$3)</f>
        <v>30.963178787006136</v>
      </c>
      <c r="AF5" s="7">
        <f>U5*(774/1482)*(AF$3/U$3)</f>
        <v>30.728541663137566</v>
      </c>
      <c r="AG5" s="7">
        <f>U5*(656/1482)*(AG$3/U$3)</f>
        <v>26.385227095202875</v>
      </c>
      <c r="AH5" s="7">
        <f>U5*(649/1482)*(AH$3/U$3)</f>
        <v>26.393182156119842</v>
      </c>
      <c r="AI5" s="7">
        <f>U5*(1161/1482)*(AI$3/U$3)</f>
        <v>46.955973777378752</v>
      </c>
      <c r="AJ5" s="7">
        <f t="shared" ref="AJ5:AJ36" si="1">SUM(Q5:AI5)</f>
        <v>925.4736258627471</v>
      </c>
      <c r="AK5" s="7">
        <v>1134103</v>
      </c>
      <c r="AL5" s="7">
        <f t="shared" ref="AL5:AL36" si="2">AK5-AJ5</f>
        <v>1133177.5263741373</v>
      </c>
    </row>
    <row r="6" spans="1:38" x14ac:dyDescent="0.3">
      <c r="A6" s="10"/>
      <c r="B6" s="10"/>
      <c r="C6" s="10"/>
      <c r="D6" s="10"/>
      <c r="E6" s="10"/>
      <c r="F6" s="10"/>
      <c r="G6" s="10" t="s">
        <v>53</v>
      </c>
      <c r="H6" s="11">
        <v>139</v>
      </c>
      <c r="I6" s="8">
        <v>0.44585987261146498</v>
      </c>
      <c r="J6" s="8">
        <v>0.29619181946403378</v>
      </c>
      <c r="K6" s="9">
        <v>189</v>
      </c>
      <c r="L6" s="11">
        <v>0</v>
      </c>
      <c r="M6" s="11">
        <v>94</v>
      </c>
      <c r="N6" s="11">
        <v>20</v>
      </c>
      <c r="O6" s="11">
        <v>36</v>
      </c>
      <c r="P6" s="11">
        <f t="shared" si="0"/>
        <v>150</v>
      </c>
      <c r="Q6" s="11">
        <v>96</v>
      </c>
      <c r="R6" s="11">
        <v>76</v>
      </c>
      <c r="S6" s="11">
        <v>0</v>
      </c>
      <c r="T6" s="11">
        <v>0</v>
      </c>
      <c r="U6" s="11">
        <v>0</v>
      </c>
      <c r="V6" s="11">
        <f t="shared" ref="V6:AI6" si="3">3.67938659058487*V$3*$J6</f>
        <v>340.01891313839297</v>
      </c>
      <c r="W6" s="11">
        <f t="shared" si="3"/>
        <v>507.84876129003567</v>
      </c>
      <c r="X6" s="11">
        <f t="shared" si="3"/>
        <v>536.18367071823502</v>
      </c>
      <c r="Y6" s="11">
        <f t="shared" si="3"/>
        <v>553.62053805866549</v>
      </c>
      <c r="Z6" s="11">
        <f t="shared" si="3"/>
        <v>580.86564327808799</v>
      </c>
      <c r="AA6" s="11">
        <f t="shared" si="3"/>
        <v>589.58407694830316</v>
      </c>
      <c r="AB6" s="11">
        <f t="shared" si="3"/>
        <v>583.04525169564181</v>
      </c>
      <c r="AC6" s="11">
        <f t="shared" si="3"/>
        <v>589.58407694830316</v>
      </c>
      <c r="AD6" s="11">
        <f t="shared" si="3"/>
        <v>589.58407694830316</v>
      </c>
      <c r="AE6" s="11">
        <f t="shared" si="3"/>
        <v>584.13505590441866</v>
      </c>
      <c r="AF6" s="11">
        <f t="shared" si="3"/>
        <v>581.95544748686495</v>
      </c>
      <c r="AG6" s="11">
        <f t="shared" si="3"/>
        <v>589.58407694830316</v>
      </c>
      <c r="AH6" s="11">
        <f t="shared" si="3"/>
        <v>596.12290220096463</v>
      </c>
      <c r="AI6" s="11">
        <f t="shared" si="3"/>
        <v>592.85348957463395</v>
      </c>
      <c r="AJ6" s="11">
        <f t="shared" si="1"/>
        <v>7986.9859811391534</v>
      </c>
      <c r="AK6" s="11">
        <v>739683</v>
      </c>
      <c r="AL6" s="11">
        <f t="shared" si="2"/>
        <v>731696.01401886088</v>
      </c>
    </row>
    <row r="7" spans="1:38" x14ac:dyDescent="0.3">
      <c r="A7" s="6"/>
      <c r="B7" s="6"/>
      <c r="C7" s="6"/>
      <c r="D7" s="6"/>
      <c r="E7" s="6"/>
      <c r="F7" s="6"/>
      <c r="G7" s="6" t="s">
        <v>54</v>
      </c>
      <c r="H7" s="7">
        <v>12</v>
      </c>
      <c r="I7" s="8">
        <v>3.8216560509554139E-2</v>
      </c>
      <c r="J7" s="8">
        <v>3.3850493653032443E-2</v>
      </c>
      <c r="K7" s="9">
        <v>24</v>
      </c>
      <c r="L7" s="7">
        <v>0</v>
      </c>
      <c r="M7" s="7">
        <v>533</v>
      </c>
      <c r="N7" s="7">
        <v>1119</v>
      </c>
      <c r="O7" s="7">
        <v>569</v>
      </c>
      <c r="P7" s="7">
        <f t="shared" si="0"/>
        <v>2221</v>
      </c>
      <c r="Q7" s="7">
        <v>1585</v>
      </c>
      <c r="R7" s="7">
        <v>1306</v>
      </c>
      <c r="S7" s="7">
        <v>1601</v>
      </c>
      <c r="T7" s="7">
        <v>1134</v>
      </c>
      <c r="U7" s="7">
        <v>1275</v>
      </c>
      <c r="V7" s="7">
        <f>U7*(1069/1118)*(V$3/U$3)</f>
        <v>530.49528072394662</v>
      </c>
      <c r="W7" s="7">
        <f>U7*(1131/1118)*(W$3/U$3)</f>
        <v>838.2966819110635</v>
      </c>
      <c r="X7" s="7">
        <f>U7*(1117/1118)*(X$3/U$3)</f>
        <v>874.11284346674051</v>
      </c>
      <c r="Y7" s="7">
        <f>U7*(1183/1118)*(Y$3/U$3)</f>
        <v>955.86747105186339</v>
      </c>
      <c r="Z7" s="7">
        <f>U7*(1042/1118)*(Z$3/U$3)</f>
        <v>883.37306606986476</v>
      </c>
      <c r="AA7" s="7">
        <f>U7*(1006/1118)*(AA$3/U$3)</f>
        <v>865.65426156989838</v>
      </c>
      <c r="AB7" s="7">
        <f>U7*(740/1118)*(AB$3/U$3)</f>
        <v>629.7014992402751</v>
      </c>
      <c r="AC7" s="7">
        <f>U7*(644/1118)*(AC$3/U$3)</f>
        <v>554.1564060149251</v>
      </c>
      <c r="AD7" s="7">
        <f>U7*(618/1118)*(AD$3/U$3)</f>
        <v>531.78363185904288</v>
      </c>
      <c r="AE7" s="7">
        <f>U7*(604/1118)*(AE$3/U$3)</f>
        <v>514.93327145754893</v>
      </c>
      <c r="AF7" s="7">
        <f>U7*(593/1118)*(AF$3/U$3)</f>
        <v>503.66894708871934</v>
      </c>
      <c r="AG7" s="7">
        <f>U7*(511/1118)*(AG$3/U$3)</f>
        <v>439.71106129445138</v>
      </c>
      <c r="AH7" s="7">
        <f>U7*(496/1118)*(AH$3/U$3)</f>
        <v>431.53718909289603</v>
      </c>
      <c r="AI7" s="7">
        <f>U7*(985/1118)*(AI$3/U$3)</f>
        <v>852.28403979012126</v>
      </c>
      <c r="AJ7" s="7">
        <f t="shared" si="1"/>
        <v>16306.575650631356</v>
      </c>
      <c r="AK7" s="7">
        <v>134650</v>
      </c>
      <c r="AL7" s="7">
        <f t="shared" si="2"/>
        <v>118343.42434936864</v>
      </c>
    </row>
    <row r="8" spans="1:38" x14ac:dyDescent="0.3">
      <c r="A8" s="10"/>
      <c r="B8" s="10"/>
      <c r="C8" s="10"/>
      <c r="D8" s="10"/>
      <c r="E8" s="10"/>
      <c r="F8" s="10"/>
      <c r="G8" s="10" t="s">
        <v>55</v>
      </c>
      <c r="H8" s="11">
        <v>13</v>
      </c>
      <c r="I8" s="8">
        <v>4.1401273885350323E-2</v>
      </c>
      <c r="J8" s="8">
        <v>4.0902679830747531E-2</v>
      </c>
      <c r="K8" s="9">
        <v>29</v>
      </c>
      <c r="L8" s="11">
        <v>0</v>
      </c>
      <c r="M8" s="11">
        <v>0</v>
      </c>
      <c r="N8" s="11">
        <v>121</v>
      </c>
      <c r="O8" s="11">
        <v>533</v>
      </c>
      <c r="P8" s="11">
        <f t="shared" si="0"/>
        <v>654</v>
      </c>
      <c r="Q8" s="11">
        <v>2229</v>
      </c>
      <c r="R8" s="11">
        <v>1634</v>
      </c>
      <c r="S8" s="11">
        <v>1769</v>
      </c>
      <c r="T8" s="11">
        <v>1100</v>
      </c>
      <c r="U8" s="11">
        <v>1269</v>
      </c>
      <c r="V8" s="11">
        <f>U8*(1234/1286)*(V$3/U$3)</f>
        <v>529.87234264073345</v>
      </c>
      <c r="W8" s="11">
        <f>U8*(1174/1286)*(W$3/U$3)</f>
        <v>752.93157726920754</v>
      </c>
      <c r="X8" s="11">
        <f>U8*(1294/1286)*(X$3/U$3)</f>
        <v>876.19521463849503</v>
      </c>
      <c r="Y8" s="11">
        <f>U8*(1306/1286)*(Y$3/U$3)</f>
        <v>913.07906843574506</v>
      </c>
      <c r="Z8" s="11">
        <f>U8*(1088/1286)*(Z$3/U$3)</f>
        <v>798.10053553882494</v>
      </c>
      <c r="AA8" s="11">
        <f>U8*(1228/1286)*(AA$3/U$3)</f>
        <v>914.31770531699601</v>
      </c>
      <c r="AB8" s="11">
        <f>U8*(940/1286)*(AB$3/U$3)</f>
        <v>692.12276397899495</v>
      </c>
      <c r="AC8" s="11">
        <f>U8*(806/1286)*(AC$3/U$3)</f>
        <v>600.11406391327273</v>
      </c>
      <c r="AD8" s="11">
        <f>U8*(742/1286)*(AD$3/U$3)</f>
        <v>552.46232682834773</v>
      </c>
      <c r="AE8" s="11">
        <f>U8*(634/1286)*(AE$3/U$3)</f>
        <v>467.68726614913095</v>
      </c>
      <c r="AF8" s="11">
        <f>U8*(596/1286)*(AF$3/U$3)</f>
        <v>438.01503152716401</v>
      </c>
      <c r="AG8" s="11">
        <f>U8*(549/1286)*(AG$3/U$3)</f>
        <v>408.76255718162116</v>
      </c>
      <c r="AH8" s="11">
        <f>U8*(538/1286)*(AH$3/U$3)</f>
        <v>405.01499248423642</v>
      </c>
      <c r="AI8" s="11">
        <f>U8*(961/1286)*(AI$3/U$3)</f>
        <v>719.48838147543222</v>
      </c>
      <c r="AJ8" s="11">
        <f t="shared" si="1"/>
        <v>17069.163827378205</v>
      </c>
      <c r="AK8" s="11">
        <v>114818</v>
      </c>
      <c r="AL8" s="11">
        <f t="shared" si="2"/>
        <v>97748.836172621799</v>
      </c>
    </row>
    <row r="9" spans="1:38" x14ac:dyDescent="0.3">
      <c r="A9" s="6"/>
      <c r="B9" s="6"/>
      <c r="C9" s="6"/>
      <c r="D9" s="6"/>
      <c r="E9" s="6"/>
      <c r="F9" s="6"/>
      <c r="G9" s="6" t="s">
        <v>56</v>
      </c>
      <c r="H9" s="7">
        <v>0</v>
      </c>
      <c r="I9" s="8">
        <v>0</v>
      </c>
      <c r="J9" s="8">
        <v>4.0902679830747531E-2</v>
      </c>
      <c r="K9" s="9">
        <v>32</v>
      </c>
      <c r="L9" s="7">
        <v>0</v>
      </c>
      <c r="M9" s="7">
        <v>0</v>
      </c>
      <c r="N9" s="7">
        <v>1</v>
      </c>
      <c r="O9" s="7">
        <v>1</v>
      </c>
      <c r="P9" s="7">
        <f t="shared" si="0"/>
        <v>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f t="shared" ref="V9:AI9" si="4">3.67938659058487*V$3*$J9</f>
        <v>46.95499276673047</v>
      </c>
      <c r="W9" s="7">
        <f t="shared" si="4"/>
        <v>70.131495606719227</v>
      </c>
      <c r="X9" s="7">
        <f t="shared" si="4"/>
        <v>74.044411670613428</v>
      </c>
      <c r="Y9" s="7">
        <f t="shared" si="4"/>
        <v>76.452360017625253</v>
      </c>
      <c r="Z9" s="7">
        <f t="shared" si="4"/>
        <v>80.214779309831215</v>
      </c>
      <c r="AA9" s="7">
        <f t="shared" si="4"/>
        <v>81.418753483337127</v>
      </c>
      <c r="AB9" s="7">
        <f t="shared" si="4"/>
        <v>80.515772853207693</v>
      </c>
      <c r="AC9" s="7">
        <f t="shared" si="4"/>
        <v>81.418753483337127</v>
      </c>
      <c r="AD9" s="7">
        <f t="shared" si="4"/>
        <v>81.418753483337127</v>
      </c>
      <c r="AE9" s="7">
        <f t="shared" si="4"/>
        <v>80.666269624895932</v>
      </c>
      <c r="AF9" s="7">
        <f t="shared" si="4"/>
        <v>80.365276081519454</v>
      </c>
      <c r="AG9" s="7">
        <f t="shared" si="4"/>
        <v>81.418753483337127</v>
      </c>
      <c r="AH9" s="7">
        <f t="shared" si="4"/>
        <v>82.321734113466562</v>
      </c>
      <c r="AI9" s="7">
        <f t="shared" si="4"/>
        <v>81.870243798401845</v>
      </c>
      <c r="AJ9" s="7">
        <f t="shared" si="1"/>
        <v>1079.2123497763596</v>
      </c>
      <c r="AK9" s="7">
        <v>88585</v>
      </c>
      <c r="AL9" s="7">
        <f t="shared" si="2"/>
        <v>87505.787650223647</v>
      </c>
    </row>
    <row r="10" spans="1:38" x14ac:dyDescent="0.3">
      <c r="A10" s="10"/>
      <c r="B10" s="10"/>
      <c r="C10" s="10"/>
      <c r="D10" s="10"/>
      <c r="E10" s="10"/>
      <c r="F10" s="10"/>
      <c r="G10" s="10" t="s">
        <v>57</v>
      </c>
      <c r="H10" s="11">
        <v>10</v>
      </c>
      <c r="I10" s="8">
        <v>3.1847133757961783E-2</v>
      </c>
      <c r="J10" s="8">
        <v>2.5387870239774329E-2</v>
      </c>
      <c r="K10" s="9">
        <v>18</v>
      </c>
      <c r="L10" s="11">
        <v>0</v>
      </c>
      <c r="M10" s="11">
        <v>0</v>
      </c>
      <c r="N10" s="11">
        <v>2</v>
      </c>
      <c r="O10" s="11">
        <v>35</v>
      </c>
      <c r="P10" s="11">
        <f t="shared" si="0"/>
        <v>37</v>
      </c>
      <c r="Q10" s="11">
        <v>46</v>
      </c>
      <c r="R10" s="11">
        <v>24</v>
      </c>
      <c r="S10" s="11">
        <v>11</v>
      </c>
      <c r="T10" s="11">
        <v>26</v>
      </c>
      <c r="U10" s="11">
        <v>18</v>
      </c>
      <c r="V10" s="11">
        <f>U10*(988/878)*(V$3/U$3)</f>
        <v>8.8139457305973075</v>
      </c>
      <c r="W10" s="11">
        <f>U10*(920/878)*(W$3/U$3)</f>
        <v>12.258365818091708</v>
      </c>
      <c r="X10" s="11">
        <f>U10*(910/878)*(X$3/U$3)</f>
        <v>12.801631703853376</v>
      </c>
      <c r="Y10" s="11">
        <f>U10*(890/878)*(Y$3/U$3)</f>
        <v>12.927440645819233</v>
      </c>
      <c r="Z10" s="11">
        <f>U10*(905/878)*(Z$3/U$3)</f>
        <v>13.792234157127744</v>
      </c>
      <c r="AA10" s="11">
        <f>U10*(843/878)*(AA$3/U$3)</f>
        <v>13.040182613585459</v>
      </c>
      <c r="AB10" s="11">
        <f>U10*(604/878)*(AB$3/U$3)</f>
        <v>9.2395230697381834</v>
      </c>
      <c r="AC10" s="11">
        <f>U10*(561/878)*(AC$3/U$3)</f>
        <v>8.6779862944501112</v>
      </c>
      <c r="AD10" s="11">
        <f>U10*(487/878)*(AD$3/U$3)</f>
        <v>7.5332964802089188</v>
      </c>
      <c r="AE10" s="11">
        <f>U10*(512/878)*(AE$3/U$3)</f>
        <v>7.8468180821761129</v>
      </c>
      <c r="AF10" s="11">
        <f>U10*(476/878)*(AF$3/U$3)</f>
        <v>7.2678682056023094</v>
      </c>
      <c r="AG10" s="11">
        <f>U10*(432/878)*(AG$3/U$3)</f>
        <v>6.6825135101647906</v>
      </c>
      <c r="AH10" s="11">
        <f>U10*(435/878)*(AH$3/U$3)</f>
        <v>6.8035474309242199</v>
      </c>
      <c r="AI10" s="11">
        <f>U10*(751/878)*(AI$3/U$3)</f>
        <v>11.681474633295526</v>
      </c>
      <c r="AJ10" s="11">
        <f t="shared" si="1"/>
        <v>264.36682837563501</v>
      </c>
      <c r="AK10" s="11">
        <v>48852</v>
      </c>
      <c r="AL10" s="11">
        <f t="shared" si="2"/>
        <v>48587.633171624366</v>
      </c>
    </row>
    <row r="11" spans="1:38" x14ac:dyDescent="0.3">
      <c r="A11" s="6"/>
      <c r="B11" s="6"/>
      <c r="C11" s="6"/>
      <c r="D11" s="6"/>
      <c r="E11" s="6"/>
      <c r="F11" s="6"/>
      <c r="G11" s="6" t="s">
        <v>58</v>
      </c>
      <c r="H11" s="7">
        <v>6</v>
      </c>
      <c r="I11" s="8">
        <v>1.9108280254777069E-2</v>
      </c>
      <c r="J11" s="8">
        <v>1.6925246826516221E-2</v>
      </c>
      <c r="K11" s="9">
        <v>12</v>
      </c>
      <c r="L11" s="7">
        <v>0</v>
      </c>
      <c r="M11" s="7">
        <v>85</v>
      </c>
      <c r="N11" s="7">
        <v>205</v>
      </c>
      <c r="O11" s="7">
        <v>200</v>
      </c>
      <c r="P11" s="7">
        <f t="shared" si="0"/>
        <v>490</v>
      </c>
      <c r="Q11" s="7">
        <v>462</v>
      </c>
      <c r="R11" s="7">
        <v>432</v>
      </c>
      <c r="S11" s="7">
        <v>270</v>
      </c>
      <c r="T11" s="7">
        <v>129</v>
      </c>
      <c r="U11" s="7">
        <v>227</v>
      </c>
      <c r="V11" s="7">
        <f>U11*(558/599)*(V$3/U$3)</f>
        <v>92.017127569659337</v>
      </c>
      <c r="W11" s="7">
        <f>U11*(627/599)*(W$3/U$3)</f>
        <v>154.43059213053834</v>
      </c>
      <c r="X11" s="7">
        <f>U11*(563/599)*(X$3/U$3)</f>
        <v>146.40414638064837</v>
      </c>
      <c r="Y11" s="7">
        <f>U11*(618/599)*(Y$3/U$3)</f>
        <v>165.93273307674576</v>
      </c>
      <c r="Z11" s="7">
        <f>U11*(545/599)*(Z$3/U$3)</f>
        <v>153.53365558124537</v>
      </c>
      <c r="AA11" s="7">
        <f>U11*(597/599)*(AA$3/U$3)</f>
        <v>170.7070570895705</v>
      </c>
      <c r="AB11" s="7">
        <f>U11*(434/599)*(AB$3/U$3)</f>
        <v>122.72227305853781</v>
      </c>
      <c r="AC11" s="7">
        <f>U11*(379/599)*(AC$3/U$3)</f>
        <v>108.37181681230689</v>
      </c>
      <c r="AD11" s="7">
        <f>U11*(362/599)*(AD$3/U$3)</f>
        <v>103.51081183655697</v>
      </c>
      <c r="AE11" s="7">
        <f>U11*(290/599)*(AE$3/U$3)</f>
        <v>82.156639494461942</v>
      </c>
      <c r="AF11" s="7">
        <f>U11*(287/599)*(AF$3/U$3)</f>
        <v>81.003359853591405</v>
      </c>
      <c r="AG11" s="7">
        <f>U11*(281/599)*(AG$3/U$3)</f>
        <v>80.349552834454443</v>
      </c>
      <c r="AH11" s="7">
        <f>U11*(254/599)*(AH$3/U$3)</f>
        <v>73.434631871342987</v>
      </c>
      <c r="AI11" s="7">
        <f>U11*(503/599)*(AI$3/U$3)</f>
        <v>144.62612955576822</v>
      </c>
      <c r="AJ11" s="7">
        <f t="shared" si="1"/>
        <v>3199.2005271454282</v>
      </c>
      <c r="AK11" s="7">
        <v>37676</v>
      </c>
      <c r="AL11" s="7">
        <f t="shared" si="2"/>
        <v>34476.799472854575</v>
      </c>
    </row>
    <row r="12" spans="1:38" x14ac:dyDescent="0.3">
      <c r="A12" s="10"/>
      <c r="B12" s="10"/>
      <c r="C12" s="10"/>
      <c r="D12" s="10"/>
      <c r="E12" s="10"/>
      <c r="F12" s="10"/>
      <c r="G12" s="10" t="s">
        <v>59</v>
      </c>
      <c r="H12" s="11">
        <v>7</v>
      </c>
      <c r="I12" s="8">
        <v>2.229299363057325E-2</v>
      </c>
      <c r="J12" s="8">
        <v>1.6925246826516221E-2</v>
      </c>
      <c r="K12" s="9">
        <v>12</v>
      </c>
      <c r="L12" s="11">
        <v>0</v>
      </c>
      <c r="M12" s="11">
        <v>0</v>
      </c>
      <c r="N12" s="11">
        <v>0</v>
      </c>
      <c r="O12" s="11">
        <v>0</v>
      </c>
      <c r="P12" s="11">
        <f t="shared" si="0"/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f t="shared" ref="V12:AI13" si="5">3.67938659058487*V$3*$J12</f>
        <v>19.429652179336745</v>
      </c>
      <c r="W12" s="11">
        <f t="shared" si="5"/>
        <v>29.019929216573477</v>
      </c>
      <c r="X12" s="11">
        <f t="shared" si="5"/>
        <v>30.639066898184868</v>
      </c>
      <c r="Y12" s="11">
        <f t="shared" si="5"/>
        <v>31.635459317638038</v>
      </c>
      <c r="Z12" s="11">
        <f t="shared" si="5"/>
        <v>33.192322473033613</v>
      </c>
      <c r="AA12" s="11">
        <f t="shared" si="5"/>
        <v>33.690518682760192</v>
      </c>
      <c r="AB12" s="11">
        <f t="shared" si="5"/>
        <v>33.316871525465253</v>
      </c>
      <c r="AC12" s="11">
        <f t="shared" si="5"/>
        <v>33.690518682760192</v>
      </c>
      <c r="AD12" s="11">
        <f t="shared" si="5"/>
        <v>33.690518682760192</v>
      </c>
      <c r="AE12" s="11">
        <f t="shared" si="5"/>
        <v>33.379146051681076</v>
      </c>
      <c r="AF12" s="11">
        <f t="shared" si="5"/>
        <v>33.254596999249436</v>
      </c>
      <c r="AG12" s="11">
        <f t="shared" si="5"/>
        <v>33.690518682760192</v>
      </c>
      <c r="AH12" s="11">
        <f t="shared" si="5"/>
        <v>34.064165840055132</v>
      </c>
      <c r="AI12" s="11">
        <f t="shared" si="5"/>
        <v>33.877342261407662</v>
      </c>
      <c r="AJ12" s="11">
        <f t="shared" si="1"/>
        <v>446.570627493666</v>
      </c>
      <c r="AK12" s="11">
        <v>34218</v>
      </c>
      <c r="AL12" s="11">
        <f t="shared" si="2"/>
        <v>33771.429372506333</v>
      </c>
    </row>
    <row r="13" spans="1:38" x14ac:dyDescent="0.3">
      <c r="A13" s="6"/>
      <c r="B13" s="6"/>
      <c r="C13" s="6"/>
      <c r="D13" s="6"/>
      <c r="E13" s="6"/>
      <c r="F13" s="6"/>
      <c r="G13" s="6" t="s">
        <v>60</v>
      </c>
      <c r="H13" s="7">
        <v>4</v>
      </c>
      <c r="I13" s="8">
        <v>1.2738853503184711E-2</v>
      </c>
      <c r="J13" s="8">
        <v>1.2693935119887159E-2</v>
      </c>
      <c r="K13" s="9">
        <v>9</v>
      </c>
      <c r="L13" s="7">
        <v>0</v>
      </c>
      <c r="M13" s="7">
        <v>0</v>
      </c>
      <c r="N13" s="7">
        <v>0</v>
      </c>
      <c r="O13" s="7">
        <v>0</v>
      </c>
      <c r="P13" s="7">
        <f t="shared" si="0"/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f t="shared" si="5"/>
        <v>14.572239134502553</v>
      </c>
      <c r="W13" s="7">
        <f t="shared" si="5"/>
        <v>21.764946912430094</v>
      </c>
      <c r="X13" s="7">
        <f t="shared" si="5"/>
        <v>22.979300173638642</v>
      </c>
      <c r="Y13" s="7">
        <f t="shared" si="5"/>
        <v>23.726594488228514</v>
      </c>
      <c r="Z13" s="7">
        <f t="shared" si="5"/>
        <v>24.894241854775196</v>
      </c>
      <c r="AA13" s="7">
        <f t="shared" si="5"/>
        <v>25.267889012070132</v>
      </c>
      <c r="AB13" s="7">
        <f t="shared" si="5"/>
        <v>24.987653644098927</v>
      </c>
      <c r="AC13" s="7">
        <f t="shared" si="5"/>
        <v>25.267889012070132</v>
      </c>
      <c r="AD13" s="7">
        <f t="shared" si="5"/>
        <v>25.267889012070132</v>
      </c>
      <c r="AE13" s="7">
        <f t="shared" si="5"/>
        <v>25.034359538760796</v>
      </c>
      <c r="AF13" s="7">
        <f t="shared" si="5"/>
        <v>24.940947749437061</v>
      </c>
      <c r="AG13" s="7">
        <f t="shared" si="5"/>
        <v>25.267889012070132</v>
      </c>
      <c r="AH13" s="7">
        <f t="shared" si="5"/>
        <v>25.548124380041333</v>
      </c>
      <c r="AI13" s="7">
        <f t="shared" si="5"/>
        <v>25.408006696055732</v>
      </c>
      <c r="AJ13" s="7">
        <f t="shared" si="1"/>
        <v>334.92797062024937</v>
      </c>
      <c r="AK13" s="7">
        <v>33019</v>
      </c>
      <c r="AL13" s="7">
        <f t="shared" si="2"/>
        <v>32684.072029379749</v>
      </c>
    </row>
    <row r="14" spans="1:38" x14ac:dyDescent="0.3">
      <c r="A14" s="10"/>
      <c r="B14" s="10"/>
      <c r="C14" s="10"/>
      <c r="D14" s="10"/>
      <c r="E14" s="10"/>
      <c r="F14" s="10"/>
      <c r="G14" s="10" t="s">
        <v>61</v>
      </c>
      <c r="H14" s="11">
        <v>8</v>
      </c>
      <c r="I14" s="8">
        <v>2.5477707006369432E-2</v>
      </c>
      <c r="J14" s="8">
        <v>1.9746121297602261E-2</v>
      </c>
      <c r="K14" s="9">
        <v>12</v>
      </c>
      <c r="L14" s="11">
        <v>0</v>
      </c>
      <c r="M14" s="11">
        <v>21</v>
      </c>
      <c r="N14" s="11">
        <v>27</v>
      </c>
      <c r="O14" s="11">
        <v>24</v>
      </c>
      <c r="P14" s="11">
        <f t="shared" si="0"/>
        <v>72</v>
      </c>
      <c r="Q14" s="11">
        <v>18</v>
      </c>
      <c r="R14" s="11">
        <v>6</v>
      </c>
      <c r="S14" s="11">
        <v>6</v>
      </c>
      <c r="T14" s="11">
        <v>15</v>
      </c>
      <c r="U14" s="11">
        <v>7</v>
      </c>
      <c r="V14" s="11">
        <f>U14*(556/539)*(V$3/U$3)</f>
        <v>3.1420963973265232</v>
      </c>
      <c r="W14" s="11">
        <f>U14*(604/539)*(W$3/U$3)</f>
        <v>5.0981542864388061</v>
      </c>
      <c r="X14" s="11">
        <f>U14*(528/539)*(X$3/U$3)</f>
        <v>4.7053197848176929</v>
      </c>
      <c r="Y14" s="11">
        <f>U14*(555/539)*(Y$3/U$3)</f>
        <v>5.1067760691191655</v>
      </c>
      <c r="Z14" s="11">
        <f>U14*(512/539)*(Z$3/U$3)</f>
        <v>4.9429621981923244</v>
      </c>
      <c r="AA14" s="11">
        <f>U14*(500/539)*(AA$3/U$3)</f>
        <v>4.8995634769693348</v>
      </c>
      <c r="AB14" s="11">
        <f>U14*(368/539)*(AB$3/U$3)</f>
        <v>3.5660852397254068</v>
      </c>
      <c r="AC14" s="11">
        <f>U14*(371/539)*(AC$3/U$3)</f>
        <v>3.6354760999112465</v>
      </c>
      <c r="AD14" s="11">
        <f>U14*(300/539)*(AD$3/U$3)</f>
        <v>2.9397380861816012</v>
      </c>
      <c r="AE14" s="11">
        <f>U14*(290/539)*(AE$3/U$3)</f>
        <v>2.815482982847</v>
      </c>
      <c r="AF14" s="11">
        <f>U14*(298/539)*(AF$3/U$3)</f>
        <v>2.8823561375862625</v>
      </c>
      <c r="AG14" s="11">
        <f>U14*(258/539)*(AG$3/U$3)</f>
        <v>2.528174754116177</v>
      </c>
      <c r="AH14" s="11">
        <f>U14*(236/539)*(AH$3/U$3)</f>
        <v>2.3382419533047152</v>
      </c>
      <c r="AI14" s="11">
        <f>U14*(437/539)*(AI$3/U$3)</f>
        <v>4.3059646072198374</v>
      </c>
      <c r="AJ14" s="11">
        <f t="shared" si="1"/>
        <v>104.90639207375609</v>
      </c>
      <c r="AK14" s="11">
        <v>30091</v>
      </c>
      <c r="AL14" s="11">
        <f t="shared" si="2"/>
        <v>29986.093607926243</v>
      </c>
    </row>
    <row r="15" spans="1:38" x14ac:dyDescent="0.3">
      <c r="A15" s="6"/>
      <c r="B15" s="6"/>
      <c r="C15" s="6"/>
      <c r="D15" s="6"/>
      <c r="E15" s="6"/>
      <c r="F15" s="6"/>
      <c r="G15" s="6" t="s">
        <v>62</v>
      </c>
      <c r="H15" s="7">
        <v>3</v>
      </c>
      <c r="I15" s="8">
        <v>9.5541401273885346E-3</v>
      </c>
      <c r="J15" s="8">
        <v>9.8730606488011286E-3</v>
      </c>
      <c r="K15" s="9">
        <v>9</v>
      </c>
      <c r="L15" s="7">
        <v>0</v>
      </c>
      <c r="M15" s="7">
        <v>203</v>
      </c>
      <c r="N15" s="7">
        <v>23</v>
      </c>
      <c r="O15" s="7">
        <v>41</v>
      </c>
      <c r="P15" s="7">
        <f t="shared" si="0"/>
        <v>267</v>
      </c>
      <c r="Q15" s="7">
        <v>88</v>
      </c>
      <c r="R15" s="7">
        <v>22</v>
      </c>
      <c r="S15" s="7">
        <v>0</v>
      </c>
      <c r="T15" s="7">
        <v>0</v>
      </c>
      <c r="U15" s="7">
        <v>0</v>
      </c>
      <c r="V15" s="7">
        <f t="shared" ref="V15:AI16" si="6">3.67938659058487*V$3*$J15</f>
        <v>11.333963771279768</v>
      </c>
      <c r="W15" s="7">
        <f t="shared" si="6"/>
        <v>16.928292043001193</v>
      </c>
      <c r="X15" s="7">
        <f t="shared" si="6"/>
        <v>17.872789023941174</v>
      </c>
      <c r="Y15" s="7">
        <f t="shared" si="6"/>
        <v>18.454017935288853</v>
      </c>
      <c r="Z15" s="7">
        <f t="shared" si="6"/>
        <v>19.362188109269606</v>
      </c>
      <c r="AA15" s="7">
        <f t="shared" si="6"/>
        <v>19.652802564943446</v>
      </c>
      <c r="AB15" s="7">
        <f t="shared" si="6"/>
        <v>19.434841723188065</v>
      </c>
      <c r="AC15" s="7">
        <f t="shared" si="6"/>
        <v>19.652802564943446</v>
      </c>
      <c r="AD15" s="7">
        <f t="shared" si="6"/>
        <v>19.652802564943446</v>
      </c>
      <c r="AE15" s="7">
        <f t="shared" si="6"/>
        <v>19.471168530147295</v>
      </c>
      <c r="AF15" s="7">
        <f t="shared" si="6"/>
        <v>19.398514916228837</v>
      </c>
      <c r="AG15" s="7">
        <f t="shared" si="6"/>
        <v>19.652802564943446</v>
      </c>
      <c r="AH15" s="7">
        <f t="shared" si="6"/>
        <v>19.870763406698824</v>
      </c>
      <c r="AI15" s="7">
        <f t="shared" si="6"/>
        <v>19.761782985821135</v>
      </c>
      <c r="AJ15" s="7">
        <f t="shared" si="1"/>
        <v>370.49953270463851</v>
      </c>
      <c r="AK15" s="7">
        <v>29698</v>
      </c>
      <c r="AL15" s="7">
        <f t="shared" si="2"/>
        <v>29327.500467295362</v>
      </c>
    </row>
    <row r="16" spans="1:38" x14ac:dyDescent="0.3">
      <c r="A16" s="10"/>
      <c r="B16" s="10"/>
      <c r="C16" s="10"/>
      <c r="D16" s="10"/>
      <c r="E16" s="10"/>
      <c r="F16" s="10"/>
      <c r="G16" s="10" t="s">
        <v>63</v>
      </c>
      <c r="H16" s="11">
        <v>5</v>
      </c>
      <c r="I16" s="8">
        <v>1.5923566878980892E-2</v>
      </c>
      <c r="J16" s="8">
        <v>1.6925246826516221E-2</v>
      </c>
      <c r="K16" s="9">
        <v>12</v>
      </c>
      <c r="L16" s="11">
        <v>0</v>
      </c>
      <c r="M16" s="11">
        <v>30</v>
      </c>
      <c r="N16" s="11">
        <v>74</v>
      </c>
      <c r="O16" s="11">
        <v>64</v>
      </c>
      <c r="P16" s="11">
        <f t="shared" si="0"/>
        <v>168</v>
      </c>
      <c r="Q16" s="11">
        <v>49</v>
      </c>
      <c r="R16" s="11">
        <v>31</v>
      </c>
      <c r="S16" s="11">
        <v>6</v>
      </c>
      <c r="T16" s="11">
        <v>4</v>
      </c>
      <c r="U16" s="11">
        <v>0</v>
      </c>
      <c r="V16" s="11">
        <f t="shared" si="6"/>
        <v>19.429652179336745</v>
      </c>
      <c r="W16" s="11">
        <f t="shared" si="6"/>
        <v>29.019929216573477</v>
      </c>
      <c r="X16" s="11">
        <f t="shared" si="6"/>
        <v>30.639066898184868</v>
      </c>
      <c r="Y16" s="11">
        <f t="shared" si="6"/>
        <v>31.635459317638038</v>
      </c>
      <c r="Z16" s="11">
        <f t="shared" si="6"/>
        <v>33.192322473033613</v>
      </c>
      <c r="AA16" s="11">
        <f t="shared" si="6"/>
        <v>33.690518682760192</v>
      </c>
      <c r="AB16" s="11">
        <f t="shared" si="6"/>
        <v>33.316871525465253</v>
      </c>
      <c r="AC16" s="11">
        <f t="shared" si="6"/>
        <v>33.690518682760192</v>
      </c>
      <c r="AD16" s="11">
        <f t="shared" si="6"/>
        <v>33.690518682760192</v>
      </c>
      <c r="AE16" s="11">
        <f t="shared" si="6"/>
        <v>33.379146051681076</v>
      </c>
      <c r="AF16" s="11">
        <f t="shared" si="6"/>
        <v>33.254596999249436</v>
      </c>
      <c r="AG16" s="11">
        <f t="shared" si="6"/>
        <v>33.690518682760192</v>
      </c>
      <c r="AH16" s="11">
        <f t="shared" si="6"/>
        <v>34.064165840055132</v>
      </c>
      <c r="AI16" s="11">
        <f t="shared" si="6"/>
        <v>33.877342261407662</v>
      </c>
      <c r="AJ16" s="11">
        <f t="shared" si="1"/>
        <v>536.57062749366605</v>
      </c>
      <c r="AK16" s="11">
        <v>26370</v>
      </c>
      <c r="AL16" s="11">
        <f t="shared" si="2"/>
        <v>25833.429372506333</v>
      </c>
    </row>
    <row r="17" spans="1:38" x14ac:dyDescent="0.3">
      <c r="A17" s="6"/>
      <c r="B17" s="6"/>
      <c r="C17" s="6"/>
      <c r="D17" s="6"/>
      <c r="E17" s="6"/>
      <c r="F17" s="6"/>
      <c r="G17" s="6" t="s">
        <v>64</v>
      </c>
      <c r="H17" s="7">
        <v>5</v>
      </c>
      <c r="I17" s="8">
        <v>1.5923566878980892E-2</v>
      </c>
      <c r="J17" s="8">
        <v>1.4104372355430181E-2</v>
      </c>
      <c r="K17" s="9">
        <v>10</v>
      </c>
      <c r="L17" s="7">
        <v>0</v>
      </c>
      <c r="M17" s="7">
        <v>0</v>
      </c>
      <c r="N17" s="7">
        <v>6</v>
      </c>
      <c r="O17" s="7">
        <v>24</v>
      </c>
      <c r="P17" s="7">
        <f t="shared" si="0"/>
        <v>30</v>
      </c>
      <c r="Q17" s="7">
        <v>103</v>
      </c>
      <c r="R17" s="7">
        <v>182</v>
      </c>
      <c r="S17" s="7">
        <v>159</v>
      </c>
      <c r="T17" s="7">
        <v>148</v>
      </c>
      <c r="U17" s="7">
        <v>317</v>
      </c>
      <c r="V17" s="7">
        <f>U17*(502/473)*(V$3/U$3)</f>
        <v>146.39871911682752</v>
      </c>
      <c r="W17" s="7">
        <f>U17*(478/473)*(W$3/U$3)</f>
        <v>208.20577871740662</v>
      </c>
      <c r="X17" s="7">
        <f>U17*(499/473)*(X$3/U$3)</f>
        <v>229.47988004989074</v>
      </c>
      <c r="Y17" s="7">
        <f>U17*(493/473)*(Y$3/U$3)</f>
        <v>234.09363067278798</v>
      </c>
      <c r="Z17" s="7">
        <f>U17*(408/473)*(Z$3/U$3)</f>
        <v>203.26674745902147</v>
      </c>
      <c r="AA17" s="7">
        <f>U17*(443/473)*(AA$3/U$3)</f>
        <v>224.01647397395183</v>
      </c>
      <c r="AB17" s="7">
        <f>U17*(319/473)*(AB$3/U$3)</f>
        <v>159.5230449871882</v>
      </c>
      <c r="AC17" s="7">
        <f>U17*(293/473)*(AC$3/U$3)</f>
        <v>148.16439475026613</v>
      </c>
      <c r="AD17" s="7">
        <f>U17*(276/473)*(AD$3/U$3)</f>
        <v>139.56782577158174</v>
      </c>
      <c r="AE17" s="7">
        <f>U17*(239/473)*(AE$3/U$3)</f>
        <v>119.74066243833684</v>
      </c>
      <c r="AF17" s="7">
        <f>U17*(224/473)*(AF$3/U$3)</f>
        <v>111.80680601873556</v>
      </c>
      <c r="AG17" s="7">
        <f>U17*(215/473)*(AG$3/U$3)</f>
        <v>108.72131355394954</v>
      </c>
      <c r="AH17" s="7">
        <f>U17*(216/473)*(AH$3/U$3)</f>
        <v>110.43838403495893</v>
      </c>
      <c r="AI17" s="7">
        <f>U17*(394/473)*(AI$3/U$3)</f>
        <v>200.3429605975096</v>
      </c>
      <c r="AJ17" s="7">
        <f t="shared" si="1"/>
        <v>3252.7666221424133</v>
      </c>
      <c r="AK17" s="7">
        <v>22590</v>
      </c>
      <c r="AL17" s="7">
        <f t="shared" si="2"/>
        <v>19337.233377857585</v>
      </c>
    </row>
    <row r="18" spans="1:38" x14ac:dyDescent="0.3">
      <c r="A18" s="10"/>
      <c r="B18" s="10"/>
      <c r="C18" s="10"/>
      <c r="D18" s="10"/>
      <c r="E18" s="10"/>
      <c r="F18" s="10"/>
      <c r="G18" s="10" t="s">
        <v>65</v>
      </c>
      <c r="H18" s="11">
        <v>0</v>
      </c>
      <c r="I18" s="8">
        <v>0</v>
      </c>
      <c r="J18" s="8">
        <v>4.2313117066290554E-3</v>
      </c>
      <c r="K18" s="9">
        <v>5</v>
      </c>
      <c r="L18" s="11">
        <v>0</v>
      </c>
      <c r="M18" s="11">
        <v>0</v>
      </c>
      <c r="N18" s="11">
        <v>0</v>
      </c>
      <c r="O18" s="11">
        <v>0</v>
      </c>
      <c r="P18" s="11">
        <f t="shared" si="0"/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f t="shared" ref="V18:AI27" si="7">3.67938659058487*V$3*$J18</f>
        <v>4.8574130448341863</v>
      </c>
      <c r="W18" s="11">
        <f t="shared" si="7"/>
        <v>7.2549823041433692</v>
      </c>
      <c r="X18" s="11">
        <f t="shared" si="7"/>
        <v>7.6597667245462171</v>
      </c>
      <c r="Y18" s="11">
        <f t="shared" si="7"/>
        <v>7.9088648294095094</v>
      </c>
      <c r="Z18" s="11">
        <f t="shared" si="7"/>
        <v>8.2980806182584033</v>
      </c>
      <c r="AA18" s="11">
        <f t="shared" si="7"/>
        <v>8.4226296706900481</v>
      </c>
      <c r="AB18" s="11">
        <f t="shared" si="7"/>
        <v>8.3292178813663131</v>
      </c>
      <c r="AC18" s="11">
        <f t="shared" si="7"/>
        <v>8.4226296706900481</v>
      </c>
      <c r="AD18" s="11">
        <f t="shared" si="7"/>
        <v>8.4226296706900481</v>
      </c>
      <c r="AE18" s="11">
        <f t="shared" si="7"/>
        <v>8.344786512920269</v>
      </c>
      <c r="AF18" s="11">
        <f t="shared" si="7"/>
        <v>8.3136492498123591</v>
      </c>
      <c r="AG18" s="11">
        <f t="shared" si="7"/>
        <v>8.4226296706900481</v>
      </c>
      <c r="AH18" s="11">
        <f t="shared" si="7"/>
        <v>8.516041460013783</v>
      </c>
      <c r="AI18" s="11">
        <f t="shared" si="7"/>
        <v>8.4693355653519156</v>
      </c>
      <c r="AJ18" s="11">
        <f t="shared" si="1"/>
        <v>111.6426568734165</v>
      </c>
      <c r="AK18" s="11">
        <v>19398</v>
      </c>
      <c r="AL18" s="11">
        <f t="shared" si="2"/>
        <v>19286.357343126583</v>
      </c>
    </row>
    <row r="19" spans="1:38" x14ac:dyDescent="0.3">
      <c r="A19" s="6"/>
      <c r="B19" s="6"/>
      <c r="C19" s="6"/>
      <c r="D19" s="6"/>
      <c r="E19" s="6"/>
      <c r="F19" s="6"/>
      <c r="G19" s="6" t="s">
        <v>66</v>
      </c>
      <c r="H19" s="7">
        <v>4</v>
      </c>
      <c r="I19" s="8">
        <v>1.2738853503184711E-2</v>
      </c>
      <c r="J19" s="8">
        <v>9.8730606488011286E-3</v>
      </c>
      <c r="K19" s="9">
        <v>5</v>
      </c>
      <c r="L19" s="7">
        <v>0</v>
      </c>
      <c r="M19" s="7">
        <v>0</v>
      </c>
      <c r="N19" s="7">
        <v>0</v>
      </c>
      <c r="O19" s="7">
        <v>0</v>
      </c>
      <c r="P19" s="7">
        <f t="shared" si="0"/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f t="shared" si="7"/>
        <v>11.333963771279768</v>
      </c>
      <c r="W19" s="7">
        <f t="shared" si="7"/>
        <v>16.928292043001193</v>
      </c>
      <c r="X19" s="7">
        <f t="shared" si="7"/>
        <v>17.872789023941174</v>
      </c>
      <c r="Y19" s="7">
        <f t="shared" si="7"/>
        <v>18.454017935288853</v>
      </c>
      <c r="Z19" s="7">
        <f t="shared" si="7"/>
        <v>19.362188109269606</v>
      </c>
      <c r="AA19" s="7">
        <f t="shared" si="7"/>
        <v>19.652802564943446</v>
      </c>
      <c r="AB19" s="7">
        <f t="shared" si="7"/>
        <v>19.434841723188065</v>
      </c>
      <c r="AC19" s="7">
        <f t="shared" si="7"/>
        <v>19.652802564943446</v>
      </c>
      <c r="AD19" s="7">
        <f t="shared" si="7"/>
        <v>19.652802564943446</v>
      </c>
      <c r="AE19" s="7">
        <f t="shared" si="7"/>
        <v>19.471168530147295</v>
      </c>
      <c r="AF19" s="7">
        <f t="shared" si="7"/>
        <v>19.398514916228837</v>
      </c>
      <c r="AG19" s="7">
        <f t="shared" si="7"/>
        <v>19.652802564943446</v>
      </c>
      <c r="AH19" s="7">
        <f t="shared" si="7"/>
        <v>19.870763406698824</v>
      </c>
      <c r="AI19" s="7">
        <f t="shared" si="7"/>
        <v>19.761782985821135</v>
      </c>
      <c r="AJ19" s="7">
        <f t="shared" si="1"/>
        <v>260.49953270463851</v>
      </c>
      <c r="AK19" s="7">
        <v>18542</v>
      </c>
      <c r="AL19" s="7">
        <f t="shared" si="2"/>
        <v>18281.500467295362</v>
      </c>
    </row>
    <row r="20" spans="1:38" x14ac:dyDescent="0.3">
      <c r="A20" s="10"/>
      <c r="B20" s="10"/>
      <c r="C20" s="10"/>
      <c r="D20" s="10"/>
      <c r="E20" s="10"/>
      <c r="F20" s="10"/>
      <c r="G20" s="10" t="s">
        <v>67</v>
      </c>
      <c r="H20" s="11">
        <v>6</v>
      </c>
      <c r="I20" s="8">
        <v>1.9108280254777069E-2</v>
      </c>
      <c r="J20" s="8">
        <v>2.256699576868829E-2</v>
      </c>
      <c r="K20" s="9">
        <v>16</v>
      </c>
      <c r="L20" s="11">
        <v>0</v>
      </c>
      <c r="M20" s="11">
        <v>13</v>
      </c>
      <c r="N20" s="11">
        <v>14</v>
      </c>
      <c r="O20" s="11">
        <v>20</v>
      </c>
      <c r="P20" s="11">
        <f t="shared" si="0"/>
        <v>47</v>
      </c>
      <c r="Q20" s="11">
        <v>10</v>
      </c>
      <c r="R20" s="11">
        <v>4</v>
      </c>
      <c r="S20" s="11">
        <v>0</v>
      </c>
      <c r="T20" s="11">
        <v>0</v>
      </c>
      <c r="U20" s="11">
        <v>0</v>
      </c>
      <c r="V20" s="11">
        <f t="shared" si="7"/>
        <v>25.906202905782322</v>
      </c>
      <c r="W20" s="11">
        <f t="shared" si="7"/>
        <v>38.693238955431291</v>
      </c>
      <c r="X20" s="11">
        <f t="shared" si="7"/>
        <v>40.852089197579815</v>
      </c>
      <c r="Y20" s="11">
        <f t="shared" si="7"/>
        <v>42.180612423517374</v>
      </c>
      <c r="Z20" s="11">
        <f t="shared" si="7"/>
        <v>44.256429964044806</v>
      </c>
      <c r="AA20" s="11">
        <f t="shared" si="7"/>
        <v>44.920691577013578</v>
      </c>
      <c r="AB20" s="11">
        <f t="shared" si="7"/>
        <v>44.422495367286999</v>
      </c>
      <c r="AC20" s="11">
        <f t="shared" si="7"/>
        <v>44.920691577013578</v>
      </c>
      <c r="AD20" s="11">
        <f t="shared" si="7"/>
        <v>44.920691577013578</v>
      </c>
      <c r="AE20" s="11">
        <f t="shared" si="7"/>
        <v>44.505528068908092</v>
      </c>
      <c r="AF20" s="11">
        <f t="shared" si="7"/>
        <v>44.339462665665899</v>
      </c>
      <c r="AG20" s="11">
        <f t="shared" si="7"/>
        <v>44.920691577013578</v>
      </c>
      <c r="AH20" s="11">
        <f t="shared" si="7"/>
        <v>45.418887786740164</v>
      </c>
      <c r="AI20" s="11">
        <f t="shared" si="7"/>
        <v>45.169789681876871</v>
      </c>
      <c r="AJ20" s="11">
        <f t="shared" si="1"/>
        <v>609.42750332488799</v>
      </c>
      <c r="AK20" s="11">
        <v>18388</v>
      </c>
      <c r="AL20" s="11">
        <f t="shared" si="2"/>
        <v>17778.572496675111</v>
      </c>
    </row>
    <row r="21" spans="1:38" x14ac:dyDescent="0.3">
      <c r="A21" s="6"/>
      <c r="B21" s="6"/>
      <c r="C21" s="6"/>
      <c r="D21" s="6"/>
      <c r="E21" s="6"/>
      <c r="F21" s="6"/>
      <c r="G21" s="6" t="s">
        <v>68</v>
      </c>
      <c r="H21" s="7">
        <v>0</v>
      </c>
      <c r="I21" s="8">
        <v>0</v>
      </c>
      <c r="J21" s="8">
        <v>4.2313117066290554E-3</v>
      </c>
      <c r="K21" s="9">
        <v>3</v>
      </c>
      <c r="L21" s="7">
        <v>0</v>
      </c>
      <c r="M21" s="7">
        <v>0</v>
      </c>
      <c r="N21" s="7">
        <v>0</v>
      </c>
      <c r="O21" s="7">
        <v>0</v>
      </c>
      <c r="P21" s="7">
        <f t="shared" si="0"/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f t="shared" si="7"/>
        <v>4.8574130448341863</v>
      </c>
      <c r="W21" s="7">
        <f t="shared" si="7"/>
        <v>7.2549823041433692</v>
      </c>
      <c r="X21" s="7">
        <f t="shared" si="7"/>
        <v>7.6597667245462171</v>
      </c>
      <c r="Y21" s="7">
        <f t="shared" si="7"/>
        <v>7.9088648294095094</v>
      </c>
      <c r="Z21" s="7">
        <f t="shared" si="7"/>
        <v>8.2980806182584033</v>
      </c>
      <c r="AA21" s="7">
        <f t="shared" si="7"/>
        <v>8.4226296706900481</v>
      </c>
      <c r="AB21" s="7">
        <f t="shared" si="7"/>
        <v>8.3292178813663131</v>
      </c>
      <c r="AC21" s="7">
        <f t="shared" si="7"/>
        <v>8.4226296706900481</v>
      </c>
      <c r="AD21" s="7">
        <f t="shared" si="7"/>
        <v>8.4226296706900481</v>
      </c>
      <c r="AE21" s="7">
        <f t="shared" si="7"/>
        <v>8.344786512920269</v>
      </c>
      <c r="AF21" s="7">
        <f t="shared" si="7"/>
        <v>8.3136492498123591</v>
      </c>
      <c r="AG21" s="7">
        <f t="shared" si="7"/>
        <v>8.4226296706900481</v>
      </c>
      <c r="AH21" s="7">
        <f t="shared" si="7"/>
        <v>8.516041460013783</v>
      </c>
      <c r="AI21" s="7">
        <f t="shared" si="7"/>
        <v>8.4693355653519156</v>
      </c>
      <c r="AJ21" s="7">
        <f t="shared" si="1"/>
        <v>111.6426568734165</v>
      </c>
      <c r="AK21" s="7">
        <v>18163</v>
      </c>
      <c r="AL21" s="7">
        <f t="shared" si="2"/>
        <v>18051.357343126583</v>
      </c>
    </row>
    <row r="22" spans="1:38" x14ac:dyDescent="0.3">
      <c r="A22" s="10"/>
      <c r="B22" s="10"/>
      <c r="C22" s="10"/>
      <c r="D22" s="10"/>
      <c r="E22" s="10"/>
      <c r="F22" s="10"/>
      <c r="G22" s="10" t="s">
        <v>69</v>
      </c>
      <c r="H22" s="11">
        <v>3</v>
      </c>
      <c r="I22" s="8">
        <v>9.5541401273885346E-3</v>
      </c>
      <c r="J22" s="8">
        <v>1.128349788434415E-2</v>
      </c>
      <c r="K22" s="9">
        <v>8</v>
      </c>
      <c r="L22" s="11">
        <v>0</v>
      </c>
      <c r="M22" s="11">
        <v>0</v>
      </c>
      <c r="N22" s="11">
        <v>0</v>
      </c>
      <c r="O22" s="11">
        <v>0</v>
      </c>
      <c r="P22" s="11">
        <f t="shared" si="0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f t="shared" si="7"/>
        <v>12.953101452891167</v>
      </c>
      <c r="W22" s="11">
        <f t="shared" si="7"/>
        <v>19.346619477715656</v>
      </c>
      <c r="X22" s="11">
        <f t="shared" si="7"/>
        <v>20.426044598789918</v>
      </c>
      <c r="Y22" s="11">
        <f t="shared" si="7"/>
        <v>21.090306211758694</v>
      </c>
      <c r="Z22" s="11">
        <f t="shared" si="7"/>
        <v>22.12821498202241</v>
      </c>
      <c r="AA22" s="11">
        <f t="shared" si="7"/>
        <v>22.4603457885068</v>
      </c>
      <c r="AB22" s="11">
        <f t="shared" si="7"/>
        <v>22.211247683643506</v>
      </c>
      <c r="AC22" s="11">
        <f t="shared" si="7"/>
        <v>22.4603457885068</v>
      </c>
      <c r="AD22" s="11">
        <f t="shared" si="7"/>
        <v>22.4603457885068</v>
      </c>
      <c r="AE22" s="11">
        <f t="shared" si="7"/>
        <v>22.252764034454056</v>
      </c>
      <c r="AF22" s="11">
        <f t="shared" si="7"/>
        <v>22.16973133283296</v>
      </c>
      <c r="AG22" s="11">
        <f t="shared" si="7"/>
        <v>22.4603457885068</v>
      </c>
      <c r="AH22" s="11">
        <f t="shared" si="7"/>
        <v>22.709443893370093</v>
      </c>
      <c r="AI22" s="11">
        <f t="shared" si="7"/>
        <v>22.584894840938446</v>
      </c>
      <c r="AJ22" s="11">
        <f t="shared" si="1"/>
        <v>297.71375166244411</v>
      </c>
      <c r="AK22" s="11">
        <v>17956</v>
      </c>
      <c r="AL22" s="11">
        <f t="shared" si="2"/>
        <v>17658.286248337557</v>
      </c>
    </row>
    <row r="23" spans="1:38" x14ac:dyDescent="0.3">
      <c r="A23" s="6"/>
      <c r="B23" s="6"/>
      <c r="C23" s="6"/>
      <c r="D23" s="6"/>
      <c r="E23" s="6"/>
      <c r="F23" s="6"/>
      <c r="G23" s="6" t="s">
        <v>70</v>
      </c>
      <c r="H23" s="7">
        <v>3</v>
      </c>
      <c r="I23" s="8">
        <v>9.5541401273885346E-3</v>
      </c>
      <c r="J23" s="8">
        <v>1.128349788434415E-2</v>
      </c>
      <c r="K23" s="9">
        <v>8</v>
      </c>
      <c r="L23" s="7">
        <v>0</v>
      </c>
      <c r="M23" s="7">
        <v>0</v>
      </c>
      <c r="N23" s="7">
        <v>0</v>
      </c>
      <c r="O23" s="7">
        <v>0</v>
      </c>
      <c r="P23" s="7">
        <f t="shared" si="0"/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f t="shared" si="7"/>
        <v>12.953101452891167</v>
      </c>
      <c r="W23" s="7">
        <f t="shared" si="7"/>
        <v>19.346619477715656</v>
      </c>
      <c r="X23" s="7">
        <f t="shared" si="7"/>
        <v>20.426044598789918</v>
      </c>
      <c r="Y23" s="7">
        <f t="shared" si="7"/>
        <v>21.090306211758694</v>
      </c>
      <c r="Z23" s="7">
        <f t="shared" si="7"/>
        <v>22.12821498202241</v>
      </c>
      <c r="AA23" s="7">
        <f t="shared" si="7"/>
        <v>22.4603457885068</v>
      </c>
      <c r="AB23" s="7">
        <f t="shared" si="7"/>
        <v>22.211247683643506</v>
      </c>
      <c r="AC23" s="7">
        <f t="shared" si="7"/>
        <v>22.4603457885068</v>
      </c>
      <c r="AD23" s="7">
        <f t="shared" si="7"/>
        <v>22.4603457885068</v>
      </c>
      <c r="AE23" s="7">
        <f t="shared" si="7"/>
        <v>22.252764034454056</v>
      </c>
      <c r="AF23" s="7">
        <f t="shared" si="7"/>
        <v>22.16973133283296</v>
      </c>
      <c r="AG23" s="7">
        <f t="shared" si="7"/>
        <v>22.4603457885068</v>
      </c>
      <c r="AH23" s="7">
        <f t="shared" si="7"/>
        <v>22.709443893370093</v>
      </c>
      <c r="AI23" s="7">
        <f t="shared" si="7"/>
        <v>22.584894840938446</v>
      </c>
      <c r="AJ23" s="7">
        <f t="shared" si="1"/>
        <v>297.71375166244411</v>
      </c>
      <c r="AK23" s="7">
        <v>17760</v>
      </c>
      <c r="AL23" s="7">
        <f t="shared" si="2"/>
        <v>17462.286248337557</v>
      </c>
    </row>
    <row r="24" spans="1:38" x14ac:dyDescent="0.3">
      <c r="A24" s="10"/>
      <c r="B24" s="10"/>
      <c r="C24" s="10"/>
      <c r="D24" s="10"/>
      <c r="E24" s="10"/>
      <c r="F24" s="10"/>
      <c r="G24" s="10" t="s">
        <v>71</v>
      </c>
      <c r="H24" s="11">
        <v>5</v>
      </c>
      <c r="I24" s="8">
        <v>1.5923566878980892E-2</v>
      </c>
      <c r="J24" s="8">
        <v>1.6925246826516221E-2</v>
      </c>
      <c r="K24" s="9">
        <v>11</v>
      </c>
      <c r="L24" s="11">
        <v>0</v>
      </c>
      <c r="M24" s="11">
        <v>0</v>
      </c>
      <c r="N24" s="11">
        <v>0</v>
      </c>
      <c r="O24" s="11">
        <v>0</v>
      </c>
      <c r="P24" s="11">
        <f t="shared" si="0"/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f t="shared" si="7"/>
        <v>19.429652179336745</v>
      </c>
      <c r="W24" s="11">
        <f t="shared" si="7"/>
        <v>29.019929216573477</v>
      </c>
      <c r="X24" s="11">
        <f t="shared" si="7"/>
        <v>30.639066898184868</v>
      </c>
      <c r="Y24" s="11">
        <f t="shared" si="7"/>
        <v>31.635459317638038</v>
      </c>
      <c r="Z24" s="11">
        <f t="shared" si="7"/>
        <v>33.192322473033613</v>
      </c>
      <c r="AA24" s="11">
        <f t="shared" si="7"/>
        <v>33.690518682760192</v>
      </c>
      <c r="AB24" s="11">
        <f t="shared" si="7"/>
        <v>33.316871525465253</v>
      </c>
      <c r="AC24" s="11">
        <f t="shared" si="7"/>
        <v>33.690518682760192</v>
      </c>
      <c r="AD24" s="11">
        <f t="shared" si="7"/>
        <v>33.690518682760192</v>
      </c>
      <c r="AE24" s="11">
        <f t="shared" si="7"/>
        <v>33.379146051681076</v>
      </c>
      <c r="AF24" s="11">
        <f t="shared" si="7"/>
        <v>33.254596999249436</v>
      </c>
      <c r="AG24" s="11">
        <f t="shared" si="7"/>
        <v>33.690518682760192</v>
      </c>
      <c r="AH24" s="11">
        <f t="shared" si="7"/>
        <v>34.064165840055132</v>
      </c>
      <c r="AI24" s="11">
        <f t="shared" si="7"/>
        <v>33.877342261407662</v>
      </c>
      <c r="AJ24" s="11">
        <f t="shared" si="1"/>
        <v>446.570627493666</v>
      </c>
      <c r="AK24" s="11">
        <v>17312</v>
      </c>
      <c r="AL24" s="11">
        <f t="shared" si="2"/>
        <v>16865.429372506333</v>
      </c>
    </row>
    <row r="25" spans="1:38" x14ac:dyDescent="0.3">
      <c r="A25" s="6"/>
      <c r="B25" s="6"/>
      <c r="C25" s="6"/>
      <c r="D25" s="6"/>
      <c r="E25" s="6"/>
      <c r="F25" s="6"/>
      <c r="G25" s="6" t="s">
        <v>72</v>
      </c>
      <c r="H25" s="7">
        <v>3</v>
      </c>
      <c r="I25" s="8">
        <v>9.5541401273885346E-3</v>
      </c>
      <c r="J25" s="8">
        <v>7.052186177715092E-3</v>
      </c>
      <c r="K25" s="9">
        <v>5</v>
      </c>
      <c r="L25" s="7">
        <v>0</v>
      </c>
      <c r="M25" s="7">
        <v>0</v>
      </c>
      <c r="N25" s="7">
        <v>24</v>
      </c>
      <c r="O25" s="7">
        <v>0</v>
      </c>
      <c r="P25" s="7">
        <f t="shared" si="0"/>
        <v>24</v>
      </c>
      <c r="Q25" s="7">
        <v>17</v>
      </c>
      <c r="R25" s="7">
        <v>28</v>
      </c>
      <c r="S25" s="7">
        <v>10</v>
      </c>
      <c r="T25" s="7">
        <v>0</v>
      </c>
      <c r="U25" s="7">
        <v>0</v>
      </c>
      <c r="V25" s="7">
        <f t="shared" si="7"/>
        <v>8.0956884080569775</v>
      </c>
      <c r="W25" s="7">
        <f t="shared" si="7"/>
        <v>12.091637173572281</v>
      </c>
      <c r="X25" s="7">
        <f t="shared" si="7"/>
        <v>12.766277874243695</v>
      </c>
      <c r="Y25" s="7">
        <f t="shared" si="7"/>
        <v>13.181441382349181</v>
      </c>
      <c r="Z25" s="7">
        <f t="shared" si="7"/>
        <v>13.830134363764003</v>
      </c>
      <c r="AA25" s="7">
        <f t="shared" si="7"/>
        <v>14.037716117816746</v>
      </c>
      <c r="AB25" s="7">
        <f t="shared" si="7"/>
        <v>13.88202980227719</v>
      </c>
      <c r="AC25" s="7">
        <f t="shared" si="7"/>
        <v>14.037716117816746</v>
      </c>
      <c r="AD25" s="7">
        <f t="shared" si="7"/>
        <v>14.037716117816746</v>
      </c>
      <c r="AE25" s="7">
        <f t="shared" si="7"/>
        <v>13.907977521533782</v>
      </c>
      <c r="AF25" s="7">
        <f t="shared" si="7"/>
        <v>13.856082083020597</v>
      </c>
      <c r="AG25" s="7">
        <f t="shared" si="7"/>
        <v>14.037716117816746</v>
      </c>
      <c r="AH25" s="7">
        <f t="shared" si="7"/>
        <v>14.193402433356304</v>
      </c>
      <c r="AI25" s="7">
        <f t="shared" si="7"/>
        <v>14.115559275586525</v>
      </c>
      <c r="AJ25" s="7">
        <f t="shared" si="1"/>
        <v>241.07109478902757</v>
      </c>
      <c r="AK25" s="7">
        <v>16406</v>
      </c>
      <c r="AL25" s="7">
        <f t="shared" si="2"/>
        <v>16164.928905210973</v>
      </c>
    </row>
    <row r="26" spans="1:38" x14ac:dyDescent="0.3">
      <c r="A26" s="10"/>
      <c r="B26" s="10"/>
      <c r="C26" s="10"/>
      <c r="D26" s="10"/>
      <c r="E26" s="10"/>
      <c r="F26" s="10"/>
      <c r="G26" s="10" t="s">
        <v>73</v>
      </c>
      <c r="H26" s="11">
        <v>3</v>
      </c>
      <c r="I26" s="8">
        <v>9.5541401273885346E-3</v>
      </c>
      <c r="J26" s="8">
        <v>9.8730606488011286E-3</v>
      </c>
      <c r="K26" s="9">
        <v>7</v>
      </c>
      <c r="L26" s="11">
        <v>0</v>
      </c>
      <c r="M26" s="11">
        <v>0</v>
      </c>
      <c r="N26" s="11">
        <v>0</v>
      </c>
      <c r="O26" s="11">
        <v>0</v>
      </c>
      <c r="P26" s="11">
        <f t="shared" si="0"/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f t="shared" si="7"/>
        <v>11.333963771279768</v>
      </c>
      <c r="W26" s="11">
        <f t="shared" si="7"/>
        <v>16.928292043001193</v>
      </c>
      <c r="X26" s="11">
        <f t="shared" si="7"/>
        <v>17.872789023941174</v>
      </c>
      <c r="Y26" s="11">
        <f t="shared" si="7"/>
        <v>18.454017935288853</v>
      </c>
      <c r="Z26" s="11">
        <f t="shared" si="7"/>
        <v>19.362188109269606</v>
      </c>
      <c r="AA26" s="11">
        <f t="shared" si="7"/>
        <v>19.652802564943446</v>
      </c>
      <c r="AB26" s="11">
        <f t="shared" si="7"/>
        <v>19.434841723188065</v>
      </c>
      <c r="AC26" s="11">
        <f t="shared" si="7"/>
        <v>19.652802564943446</v>
      </c>
      <c r="AD26" s="11">
        <f t="shared" si="7"/>
        <v>19.652802564943446</v>
      </c>
      <c r="AE26" s="11">
        <f t="shared" si="7"/>
        <v>19.471168530147295</v>
      </c>
      <c r="AF26" s="11">
        <f t="shared" si="7"/>
        <v>19.398514916228837</v>
      </c>
      <c r="AG26" s="11">
        <f t="shared" si="7"/>
        <v>19.652802564943446</v>
      </c>
      <c r="AH26" s="11">
        <f t="shared" si="7"/>
        <v>19.870763406698824</v>
      </c>
      <c r="AI26" s="11">
        <f t="shared" si="7"/>
        <v>19.761782985821135</v>
      </c>
      <c r="AJ26" s="11">
        <f t="shared" si="1"/>
        <v>260.49953270463851</v>
      </c>
      <c r="AK26" s="11">
        <v>12913</v>
      </c>
      <c r="AL26" s="11">
        <f t="shared" si="2"/>
        <v>12652.500467295362</v>
      </c>
    </row>
    <row r="27" spans="1:38" x14ac:dyDescent="0.3">
      <c r="A27" s="6"/>
      <c r="B27" s="6"/>
      <c r="C27" s="6"/>
      <c r="D27" s="6"/>
      <c r="E27" s="6"/>
      <c r="F27" s="6"/>
      <c r="G27" s="6" t="s">
        <v>74</v>
      </c>
      <c r="H27" s="7">
        <v>3</v>
      </c>
      <c r="I27" s="8">
        <v>9.5541401273885346E-3</v>
      </c>
      <c r="J27" s="8">
        <v>9.8730606488011286E-3</v>
      </c>
      <c r="K27" s="9">
        <v>7</v>
      </c>
      <c r="L27" s="7">
        <v>0</v>
      </c>
      <c r="M27" s="7">
        <v>0</v>
      </c>
      <c r="N27" s="7">
        <v>0</v>
      </c>
      <c r="O27" s="7">
        <v>0</v>
      </c>
      <c r="P27" s="7">
        <f t="shared" si="0"/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f t="shared" si="7"/>
        <v>11.333963771279768</v>
      </c>
      <c r="W27" s="7">
        <f t="shared" si="7"/>
        <v>16.928292043001193</v>
      </c>
      <c r="X27" s="7">
        <f t="shared" si="7"/>
        <v>17.872789023941174</v>
      </c>
      <c r="Y27" s="7">
        <f t="shared" si="7"/>
        <v>18.454017935288853</v>
      </c>
      <c r="Z27" s="7">
        <f t="shared" si="7"/>
        <v>19.362188109269606</v>
      </c>
      <c r="AA27" s="7">
        <f t="shared" si="7"/>
        <v>19.652802564943446</v>
      </c>
      <c r="AB27" s="7">
        <f t="shared" si="7"/>
        <v>19.434841723188065</v>
      </c>
      <c r="AC27" s="7">
        <f t="shared" si="7"/>
        <v>19.652802564943446</v>
      </c>
      <c r="AD27" s="7">
        <f t="shared" si="7"/>
        <v>19.652802564943446</v>
      </c>
      <c r="AE27" s="7">
        <f t="shared" si="7"/>
        <v>19.471168530147295</v>
      </c>
      <c r="AF27" s="7">
        <f t="shared" si="7"/>
        <v>19.398514916228837</v>
      </c>
      <c r="AG27" s="7">
        <f t="shared" si="7"/>
        <v>19.652802564943446</v>
      </c>
      <c r="AH27" s="7">
        <f t="shared" si="7"/>
        <v>19.870763406698824</v>
      </c>
      <c r="AI27" s="7">
        <f t="shared" si="7"/>
        <v>19.761782985821135</v>
      </c>
      <c r="AJ27" s="7">
        <f t="shared" si="1"/>
        <v>260.49953270463851</v>
      </c>
      <c r="AK27" s="7">
        <v>10758</v>
      </c>
      <c r="AL27" s="7">
        <f t="shared" si="2"/>
        <v>10497.500467295362</v>
      </c>
    </row>
    <row r="28" spans="1:38" x14ac:dyDescent="0.3">
      <c r="A28" s="10"/>
      <c r="B28" s="10"/>
      <c r="C28" s="10"/>
      <c r="D28" s="10"/>
      <c r="E28" s="10"/>
      <c r="F28" s="10"/>
      <c r="G28" s="10" t="s">
        <v>75</v>
      </c>
      <c r="H28" s="11">
        <v>0</v>
      </c>
      <c r="I28" s="8">
        <v>0</v>
      </c>
      <c r="J28" s="8">
        <v>5.6417489421720732E-3</v>
      </c>
      <c r="K28" s="9">
        <v>4</v>
      </c>
      <c r="L28" s="11">
        <v>0</v>
      </c>
      <c r="M28" s="11">
        <v>0</v>
      </c>
      <c r="N28" s="11">
        <v>0</v>
      </c>
      <c r="O28" s="11">
        <v>0</v>
      </c>
      <c r="P28" s="11">
        <f t="shared" si="0"/>
        <v>0</v>
      </c>
      <c r="Q28" s="11">
        <v>39</v>
      </c>
      <c r="R28" s="11">
        <v>0</v>
      </c>
      <c r="S28" s="11">
        <v>0</v>
      </c>
      <c r="T28" s="11">
        <v>0</v>
      </c>
      <c r="U28" s="11">
        <v>0</v>
      </c>
      <c r="V28" s="11">
        <f t="shared" ref="V28:AI37" si="8">3.67938659058487*V$3*$J28</f>
        <v>6.4765507264455815</v>
      </c>
      <c r="W28" s="11">
        <f t="shared" si="8"/>
        <v>9.6733097388578244</v>
      </c>
      <c r="X28" s="11">
        <f t="shared" si="8"/>
        <v>10.213022299394956</v>
      </c>
      <c r="Y28" s="11">
        <f t="shared" si="8"/>
        <v>10.545153105879344</v>
      </c>
      <c r="Z28" s="11">
        <f t="shared" si="8"/>
        <v>11.064107491011201</v>
      </c>
      <c r="AA28" s="11">
        <f t="shared" si="8"/>
        <v>11.230172894253396</v>
      </c>
      <c r="AB28" s="11">
        <f t="shared" si="8"/>
        <v>11.10562384182175</v>
      </c>
      <c r="AC28" s="11">
        <f t="shared" si="8"/>
        <v>11.230172894253396</v>
      </c>
      <c r="AD28" s="11">
        <f t="shared" si="8"/>
        <v>11.230172894253396</v>
      </c>
      <c r="AE28" s="11">
        <f t="shared" si="8"/>
        <v>11.126382017227025</v>
      </c>
      <c r="AF28" s="11">
        <f t="shared" si="8"/>
        <v>11.084865666416476</v>
      </c>
      <c r="AG28" s="11">
        <f t="shared" si="8"/>
        <v>11.230172894253396</v>
      </c>
      <c r="AH28" s="11">
        <f t="shared" si="8"/>
        <v>11.354721946685043</v>
      </c>
      <c r="AI28" s="11">
        <f t="shared" si="8"/>
        <v>11.29244742046922</v>
      </c>
      <c r="AJ28" s="11">
        <f t="shared" si="1"/>
        <v>187.856875831222</v>
      </c>
      <c r="AK28" s="11">
        <v>9994</v>
      </c>
      <c r="AL28" s="11">
        <f t="shared" si="2"/>
        <v>9806.1431241687787</v>
      </c>
    </row>
    <row r="29" spans="1:38" x14ac:dyDescent="0.3">
      <c r="A29" s="6"/>
      <c r="B29" s="6"/>
      <c r="C29" s="6"/>
      <c r="D29" s="6"/>
      <c r="E29" s="6"/>
      <c r="F29" s="6"/>
      <c r="G29" s="6" t="s">
        <v>76</v>
      </c>
      <c r="H29" s="7">
        <v>5</v>
      </c>
      <c r="I29" s="8">
        <v>1.5923566878980892E-2</v>
      </c>
      <c r="J29" s="8">
        <v>1.2693935119887159E-2</v>
      </c>
      <c r="K29" s="9">
        <v>9</v>
      </c>
      <c r="L29" s="7">
        <v>0</v>
      </c>
      <c r="M29" s="7">
        <v>0</v>
      </c>
      <c r="N29" s="7">
        <v>0</v>
      </c>
      <c r="O29" s="7">
        <v>0</v>
      </c>
      <c r="P29" s="7">
        <f t="shared" si="0"/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f t="shared" si="8"/>
        <v>14.572239134502553</v>
      </c>
      <c r="W29" s="7">
        <f t="shared" si="8"/>
        <v>21.764946912430094</v>
      </c>
      <c r="X29" s="7">
        <f t="shared" si="8"/>
        <v>22.979300173638642</v>
      </c>
      <c r="Y29" s="7">
        <f t="shared" si="8"/>
        <v>23.726594488228514</v>
      </c>
      <c r="Z29" s="7">
        <f t="shared" si="8"/>
        <v>24.894241854775196</v>
      </c>
      <c r="AA29" s="7">
        <f t="shared" si="8"/>
        <v>25.267889012070132</v>
      </c>
      <c r="AB29" s="7">
        <f t="shared" si="8"/>
        <v>24.987653644098927</v>
      </c>
      <c r="AC29" s="7">
        <f t="shared" si="8"/>
        <v>25.267889012070132</v>
      </c>
      <c r="AD29" s="7">
        <f t="shared" si="8"/>
        <v>25.267889012070132</v>
      </c>
      <c r="AE29" s="7">
        <f t="shared" si="8"/>
        <v>25.034359538760796</v>
      </c>
      <c r="AF29" s="7">
        <f t="shared" si="8"/>
        <v>24.940947749437061</v>
      </c>
      <c r="AG29" s="7">
        <f t="shared" si="8"/>
        <v>25.267889012070132</v>
      </c>
      <c r="AH29" s="7">
        <f t="shared" si="8"/>
        <v>25.548124380041333</v>
      </c>
      <c r="AI29" s="7">
        <f t="shared" si="8"/>
        <v>25.408006696055732</v>
      </c>
      <c r="AJ29" s="7">
        <f t="shared" si="1"/>
        <v>334.92797062024937</v>
      </c>
      <c r="AK29" s="7">
        <v>9474</v>
      </c>
      <c r="AL29" s="7">
        <f t="shared" si="2"/>
        <v>9139.0720293797513</v>
      </c>
    </row>
    <row r="30" spans="1:38" x14ac:dyDescent="0.3">
      <c r="A30" s="10"/>
      <c r="B30" s="10"/>
      <c r="C30" s="10"/>
      <c r="D30" s="10"/>
      <c r="E30" s="10"/>
      <c r="F30" s="10"/>
      <c r="G30" s="10" t="s">
        <v>77</v>
      </c>
      <c r="H30" s="11">
        <v>0</v>
      </c>
      <c r="I30" s="8">
        <v>0</v>
      </c>
      <c r="J30" s="8">
        <v>4.2313117066290554E-3</v>
      </c>
      <c r="K30" s="9">
        <v>3</v>
      </c>
      <c r="L30" s="11">
        <v>0</v>
      </c>
      <c r="M30" s="11">
        <v>0</v>
      </c>
      <c r="N30" s="11">
        <v>0</v>
      </c>
      <c r="O30" s="11">
        <v>0</v>
      </c>
      <c r="P30" s="11">
        <f t="shared" si="0"/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f t="shared" si="8"/>
        <v>4.8574130448341863</v>
      </c>
      <c r="W30" s="11">
        <f t="shared" si="8"/>
        <v>7.2549823041433692</v>
      </c>
      <c r="X30" s="11">
        <f t="shared" si="8"/>
        <v>7.6597667245462171</v>
      </c>
      <c r="Y30" s="11">
        <f t="shared" si="8"/>
        <v>7.9088648294095094</v>
      </c>
      <c r="Z30" s="11">
        <f t="shared" si="8"/>
        <v>8.2980806182584033</v>
      </c>
      <c r="AA30" s="11">
        <f t="shared" si="8"/>
        <v>8.4226296706900481</v>
      </c>
      <c r="AB30" s="11">
        <f t="shared" si="8"/>
        <v>8.3292178813663131</v>
      </c>
      <c r="AC30" s="11">
        <f t="shared" si="8"/>
        <v>8.4226296706900481</v>
      </c>
      <c r="AD30" s="11">
        <f t="shared" si="8"/>
        <v>8.4226296706900481</v>
      </c>
      <c r="AE30" s="11">
        <f t="shared" si="8"/>
        <v>8.344786512920269</v>
      </c>
      <c r="AF30" s="11">
        <f t="shared" si="8"/>
        <v>8.3136492498123591</v>
      </c>
      <c r="AG30" s="11">
        <f t="shared" si="8"/>
        <v>8.4226296706900481</v>
      </c>
      <c r="AH30" s="11">
        <f t="shared" si="8"/>
        <v>8.516041460013783</v>
      </c>
      <c r="AI30" s="11">
        <f t="shared" si="8"/>
        <v>8.4693355653519156</v>
      </c>
      <c r="AJ30" s="11">
        <f t="shared" si="1"/>
        <v>111.6426568734165</v>
      </c>
      <c r="AK30" s="11">
        <v>8614</v>
      </c>
      <c r="AL30" s="11">
        <f t="shared" si="2"/>
        <v>8502.3573431265831</v>
      </c>
    </row>
    <row r="31" spans="1:38" x14ac:dyDescent="0.3">
      <c r="A31" s="6"/>
      <c r="B31" s="6"/>
      <c r="C31" s="6"/>
      <c r="D31" s="6"/>
      <c r="E31" s="6"/>
      <c r="F31" s="6"/>
      <c r="G31" s="6" t="s">
        <v>78</v>
      </c>
      <c r="H31" s="7">
        <v>3</v>
      </c>
      <c r="I31" s="8">
        <v>9.5541401273885346E-3</v>
      </c>
      <c r="J31" s="8">
        <v>5.6417489421720732E-3</v>
      </c>
      <c r="K31" s="9">
        <v>4</v>
      </c>
      <c r="L31" s="7">
        <v>0</v>
      </c>
      <c r="M31" s="7">
        <v>0</v>
      </c>
      <c r="N31" s="7">
        <v>0</v>
      </c>
      <c r="O31" s="7">
        <v>0</v>
      </c>
      <c r="P31" s="7">
        <f t="shared" si="0"/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f t="shared" si="8"/>
        <v>6.4765507264455815</v>
      </c>
      <c r="W31" s="7">
        <f t="shared" si="8"/>
        <v>9.6733097388578244</v>
      </c>
      <c r="X31" s="7">
        <f t="shared" si="8"/>
        <v>10.213022299394956</v>
      </c>
      <c r="Y31" s="7">
        <f t="shared" si="8"/>
        <v>10.545153105879344</v>
      </c>
      <c r="Z31" s="7">
        <f t="shared" si="8"/>
        <v>11.064107491011201</v>
      </c>
      <c r="AA31" s="7">
        <f t="shared" si="8"/>
        <v>11.230172894253396</v>
      </c>
      <c r="AB31" s="7">
        <f t="shared" si="8"/>
        <v>11.10562384182175</v>
      </c>
      <c r="AC31" s="7">
        <f t="shared" si="8"/>
        <v>11.230172894253396</v>
      </c>
      <c r="AD31" s="7">
        <f t="shared" si="8"/>
        <v>11.230172894253396</v>
      </c>
      <c r="AE31" s="7">
        <f t="shared" si="8"/>
        <v>11.126382017227025</v>
      </c>
      <c r="AF31" s="7">
        <f t="shared" si="8"/>
        <v>11.084865666416476</v>
      </c>
      <c r="AG31" s="7">
        <f t="shared" si="8"/>
        <v>11.230172894253396</v>
      </c>
      <c r="AH31" s="7">
        <f t="shared" si="8"/>
        <v>11.354721946685043</v>
      </c>
      <c r="AI31" s="7">
        <f t="shared" si="8"/>
        <v>11.29244742046922</v>
      </c>
      <c r="AJ31" s="7">
        <f t="shared" si="1"/>
        <v>148.85687583122203</v>
      </c>
      <c r="AK31" s="7">
        <v>8605</v>
      </c>
      <c r="AL31" s="7">
        <f t="shared" si="2"/>
        <v>8456.1431241687787</v>
      </c>
    </row>
    <row r="32" spans="1:38" x14ac:dyDescent="0.3">
      <c r="A32" s="10"/>
      <c r="B32" s="10"/>
      <c r="C32" s="10"/>
      <c r="D32" s="10"/>
      <c r="E32" s="10"/>
      <c r="F32" s="10"/>
      <c r="G32" s="10" t="s">
        <v>79</v>
      </c>
      <c r="H32" s="11">
        <v>0</v>
      </c>
      <c r="I32" s="8">
        <v>0</v>
      </c>
      <c r="J32" s="8">
        <v>9.8730606488011286E-3</v>
      </c>
      <c r="K32" s="9">
        <v>8</v>
      </c>
      <c r="L32" s="11">
        <v>0</v>
      </c>
      <c r="M32" s="11">
        <v>0</v>
      </c>
      <c r="N32" s="11">
        <v>1</v>
      </c>
      <c r="O32" s="11">
        <v>0</v>
      </c>
      <c r="P32" s="11">
        <f t="shared" si="0"/>
        <v>1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f t="shared" si="8"/>
        <v>11.333963771279768</v>
      </c>
      <c r="W32" s="11">
        <f t="shared" si="8"/>
        <v>16.928292043001193</v>
      </c>
      <c r="X32" s="11">
        <f t="shared" si="8"/>
        <v>17.872789023941174</v>
      </c>
      <c r="Y32" s="11">
        <f t="shared" si="8"/>
        <v>18.454017935288853</v>
      </c>
      <c r="Z32" s="11">
        <f t="shared" si="8"/>
        <v>19.362188109269606</v>
      </c>
      <c r="AA32" s="11">
        <f t="shared" si="8"/>
        <v>19.652802564943446</v>
      </c>
      <c r="AB32" s="11">
        <f t="shared" si="8"/>
        <v>19.434841723188065</v>
      </c>
      <c r="AC32" s="11">
        <f t="shared" si="8"/>
        <v>19.652802564943446</v>
      </c>
      <c r="AD32" s="11">
        <f t="shared" si="8"/>
        <v>19.652802564943446</v>
      </c>
      <c r="AE32" s="11">
        <f t="shared" si="8"/>
        <v>19.471168530147295</v>
      </c>
      <c r="AF32" s="11">
        <f t="shared" si="8"/>
        <v>19.398514916228837</v>
      </c>
      <c r="AG32" s="11">
        <f t="shared" si="8"/>
        <v>19.652802564943446</v>
      </c>
      <c r="AH32" s="11">
        <f t="shared" si="8"/>
        <v>19.870763406698824</v>
      </c>
      <c r="AI32" s="11">
        <f t="shared" si="8"/>
        <v>19.761782985821135</v>
      </c>
      <c r="AJ32" s="11">
        <f t="shared" si="1"/>
        <v>260.49953270463851</v>
      </c>
      <c r="AK32" s="11">
        <v>7479</v>
      </c>
      <c r="AL32" s="11">
        <f t="shared" si="2"/>
        <v>7218.5004672953619</v>
      </c>
    </row>
    <row r="33" spans="1:38" x14ac:dyDescent="0.3">
      <c r="A33" s="6"/>
      <c r="B33" s="6"/>
      <c r="C33" s="6"/>
      <c r="D33" s="6"/>
      <c r="E33" s="6"/>
      <c r="F33" s="6"/>
      <c r="G33" s="6" t="s">
        <v>80</v>
      </c>
      <c r="H33" s="7">
        <v>0</v>
      </c>
      <c r="I33" s="8">
        <v>0</v>
      </c>
      <c r="J33" s="8">
        <v>4.2313117066290554E-3</v>
      </c>
      <c r="K33" s="9">
        <v>3</v>
      </c>
      <c r="L33" s="7">
        <v>0</v>
      </c>
      <c r="M33" s="7">
        <v>0</v>
      </c>
      <c r="N33" s="7">
        <v>0</v>
      </c>
      <c r="O33" s="7">
        <v>0</v>
      </c>
      <c r="P33" s="7">
        <f t="shared" si="0"/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f t="shared" si="8"/>
        <v>4.8574130448341863</v>
      </c>
      <c r="W33" s="7">
        <f t="shared" si="8"/>
        <v>7.2549823041433692</v>
      </c>
      <c r="X33" s="7">
        <f t="shared" si="8"/>
        <v>7.6597667245462171</v>
      </c>
      <c r="Y33" s="7">
        <f t="shared" si="8"/>
        <v>7.9088648294095094</v>
      </c>
      <c r="Z33" s="7">
        <f t="shared" si="8"/>
        <v>8.2980806182584033</v>
      </c>
      <c r="AA33" s="7">
        <f t="shared" si="8"/>
        <v>8.4226296706900481</v>
      </c>
      <c r="AB33" s="7">
        <f t="shared" si="8"/>
        <v>8.3292178813663131</v>
      </c>
      <c r="AC33" s="7">
        <f t="shared" si="8"/>
        <v>8.4226296706900481</v>
      </c>
      <c r="AD33" s="7">
        <f t="shared" si="8"/>
        <v>8.4226296706900481</v>
      </c>
      <c r="AE33" s="7">
        <f t="shared" si="8"/>
        <v>8.344786512920269</v>
      </c>
      <c r="AF33" s="7">
        <f t="shared" si="8"/>
        <v>8.3136492498123591</v>
      </c>
      <c r="AG33" s="7">
        <f t="shared" si="8"/>
        <v>8.4226296706900481</v>
      </c>
      <c r="AH33" s="7">
        <f t="shared" si="8"/>
        <v>8.516041460013783</v>
      </c>
      <c r="AI33" s="7">
        <f t="shared" si="8"/>
        <v>8.4693355653519156</v>
      </c>
      <c r="AJ33" s="7">
        <f t="shared" si="1"/>
        <v>111.6426568734165</v>
      </c>
      <c r="AK33" s="7">
        <v>6985</v>
      </c>
      <c r="AL33" s="7">
        <f t="shared" si="2"/>
        <v>6873.3573431265831</v>
      </c>
    </row>
    <row r="34" spans="1:38" x14ac:dyDescent="0.3">
      <c r="A34" s="10"/>
      <c r="B34" s="10"/>
      <c r="C34" s="10"/>
      <c r="D34" s="10"/>
      <c r="E34" s="10"/>
      <c r="F34" s="10"/>
      <c r="G34" s="10" t="s">
        <v>81</v>
      </c>
      <c r="H34" s="11">
        <v>0</v>
      </c>
      <c r="I34" s="8">
        <v>0</v>
      </c>
      <c r="J34" s="8">
        <v>5.6417489421720732E-3</v>
      </c>
      <c r="K34" s="9">
        <v>4</v>
      </c>
      <c r="L34" s="11">
        <v>0</v>
      </c>
      <c r="M34" s="11">
        <v>0</v>
      </c>
      <c r="N34" s="11">
        <v>0</v>
      </c>
      <c r="O34" s="11">
        <v>0</v>
      </c>
      <c r="P34" s="11">
        <f t="shared" si="0"/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f t="shared" si="8"/>
        <v>6.4765507264455815</v>
      </c>
      <c r="W34" s="11">
        <f t="shared" si="8"/>
        <v>9.6733097388578244</v>
      </c>
      <c r="X34" s="11">
        <f t="shared" si="8"/>
        <v>10.213022299394956</v>
      </c>
      <c r="Y34" s="11">
        <f t="shared" si="8"/>
        <v>10.545153105879344</v>
      </c>
      <c r="Z34" s="11">
        <f t="shared" si="8"/>
        <v>11.064107491011201</v>
      </c>
      <c r="AA34" s="11">
        <f t="shared" si="8"/>
        <v>11.230172894253396</v>
      </c>
      <c r="AB34" s="11">
        <f t="shared" si="8"/>
        <v>11.10562384182175</v>
      </c>
      <c r="AC34" s="11">
        <f t="shared" si="8"/>
        <v>11.230172894253396</v>
      </c>
      <c r="AD34" s="11">
        <f t="shared" si="8"/>
        <v>11.230172894253396</v>
      </c>
      <c r="AE34" s="11">
        <f t="shared" si="8"/>
        <v>11.126382017227025</v>
      </c>
      <c r="AF34" s="11">
        <f t="shared" si="8"/>
        <v>11.084865666416476</v>
      </c>
      <c r="AG34" s="11">
        <f t="shared" si="8"/>
        <v>11.230172894253396</v>
      </c>
      <c r="AH34" s="11">
        <f t="shared" si="8"/>
        <v>11.354721946685043</v>
      </c>
      <c r="AI34" s="11">
        <f t="shared" si="8"/>
        <v>11.29244742046922</v>
      </c>
      <c r="AJ34" s="11">
        <f t="shared" si="1"/>
        <v>148.85687583122203</v>
      </c>
      <c r="AK34" s="11">
        <v>6824</v>
      </c>
      <c r="AL34" s="11">
        <f t="shared" si="2"/>
        <v>6675.1431241687778</v>
      </c>
    </row>
    <row r="35" spans="1:38" x14ac:dyDescent="0.3">
      <c r="A35" s="6"/>
      <c r="B35" s="6"/>
      <c r="C35" s="6"/>
      <c r="D35" s="6"/>
      <c r="E35" s="6"/>
      <c r="F35" s="6"/>
      <c r="G35" s="6" t="s">
        <v>82</v>
      </c>
      <c r="H35" s="7">
        <v>0</v>
      </c>
      <c r="I35" s="8">
        <v>0</v>
      </c>
      <c r="J35" s="8">
        <v>7.052186177715092E-3</v>
      </c>
      <c r="K35" s="9">
        <v>5</v>
      </c>
      <c r="L35" s="7">
        <v>0</v>
      </c>
      <c r="M35" s="7">
        <v>0</v>
      </c>
      <c r="N35" s="7">
        <v>135</v>
      </c>
      <c r="O35" s="7">
        <v>0</v>
      </c>
      <c r="P35" s="7">
        <f t="shared" si="0"/>
        <v>135</v>
      </c>
      <c r="Q35" s="7">
        <v>126</v>
      </c>
      <c r="R35" s="7">
        <v>0</v>
      </c>
      <c r="S35" s="7">
        <v>0</v>
      </c>
      <c r="T35" s="7">
        <v>0</v>
      </c>
      <c r="U35" s="7">
        <v>0</v>
      </c>
      <c r="V35" s="7">
        <f t="shared" si="8"/>
        <v>8.0956884080569775</v>
      </c>
      <c r="W35" s="7">
        <f t="shared" si="8"/>
        <v>12.091637173572281</v>
      </c>
      <c r="X35" s="7">
        <f t="shared" si="8"/>
        <v>12.766277874243695</v>
      </c>
      <c r="Y35" s="7">
        <f t="shared" si="8"/>
        <v>13.181441382349181</v>
      </c>
      <c r="Z35" s="7">
        <f t="shared" si="8"/>
        <v>13.830134363764003</v>
      </c>
      <c r="AA35" s="7">
        <f t="shared" si="8"/>
        <v>14.037716117816746</v>
      </c>
      <c r="AB35" s="7">
        <f t="shared" si="8"/>
        <v>13.88202980227719</v>
      </c>
      <c r="AC35" s="7">
        <f t="shared" si="8"/>
        <v>14.037716117816746</v>
      </c>
      <c r="AD35" s="7">
        <f t="shared" si="8"/>
        <v>14.037716117816746</v>
      </c>
      <c r="AE35" s="7">
        <f t="shared" si="8"/>
        <v>13.907977521533782</v>
      </c>
      <c r="AF35" s="7">
        <f t="shared" si="8"/>
        <v>13.856082083020597</v>
      </c>
      <c r="AG35" s="7">
        <f t="shared" si="8"/>
        <v>14.037716117816746</v>
      </c>
      <c r="AH35" s="7">
        <f t="shared" si="8"/>
        <v>14.193402433356304</v>
      </c>
      <c r="AI35" s="7">
        <f t="shared" si="8"/>
        <v>14.115559275586525</v>
      </c>
      <c r="AJ35" s="7">
        <f t="shared" si="1"/>
        <v>312.07109478902754</v>
      </c>
      <c r="AK35" s="7">
        <v>6670</v>
      </c>
      <c r="AL35" s="7">
        <f t="shared" si="2"/>
        <v>6357.9289052109725</v>
      </c>
    </row>
    <row r="36" spans="1:38" x14ac:dyDescent="0.3">
      <c r="A36" s="10"/>
      <c r="B36" s="10"/>
      <c r="C36" s="10"/>
      <c r="D36" s="10"/>
      <c r="E36" s="10"/>
      <c r="F36" s="10"/>
      <c r="G36" s="10" t="s">
        <v>83</v>
      </c>
      <c r="H36" s="11">
        <v>0</v>
      </c>
      <c r="I36" s="8">
        <v>0</v>
      </c>
      <c r="J36" s="8">
        <v>2.8208744710860371E-3</v>
      </c>
      <c r="K36" s="9">
        <v>2</v>
      </c>
      <c r="L36" s="11">
        <v>0</v>
      </c>
      <c r="M36" s="11">
        <v>0</v>
      </c>
      <c r="N36" s="11">
        <v>0</v>
      </c>
      <c r="O36" s="11">
        <v>0</v>
      </c>
      <c r="P36" s="11">
        <f t="shared" si="0"/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f t="shared" si="8"/>
        <v>3.2382753632227912</v>
      </c>
      <c r="W36" s="11">
        <f t="shared" si="8"/>
        <v>4.8366548694289131</v>
      </c>
      <c r="X36" s="11">
        <f t="shared" si="8"/>
        <v>5.1065111496974787</v>
      </c>
      <c r="Y36" s="11">
        <f t="shared" si="8"/>
        <v>5.2725765529396726</v>
      </c>
      <c r="Z36" s="11">
        <f t="shared" si="8"/>
        <v>5.5320537455056016</v>
      </c>
      <c r="AA36" s="11">
        <f t="shared" si="8"/>
        <v>5.615086447126699</v>
      </c>
      <c r="AB36" s="11">
        <f t="shared" si="8"/>
        <v>5.5528119209108757</v>
      </c>
      <c r="AC36" s="11">
        <f t="shared" si="8"/>
        <v>5.615086447126699</v>
      </c>
      <c r="AD36" s="11">
        <f t="shared" si="8"/>
        <v>5.615086447126699</v>
      </c>
      <c r="AE36" s="11">
        <f t="shared" si="8"/>
        <v>5.5631910086135132</v>
      </c>
      <c r="AF36" s="11">
        <f t="shared" si="8"/>
        <v>5.5424328332082391</v>
      </c>
      <c r="AG36" s="11">
        <f t="shared" si="8"/>
        <v>5.615086447126699</v>
      </c>
      <c r="AH36" s="11">
        <f t="shared" si="8"/>
        <v>5.6773609733425223</v>
      </c>
      <c r="AI36" s="11">
        <f t="shared" si="8"/>
        <v>5.6462237102346107</v>
      </c>
      <c r="AJ36" s="11">
        <f t="shared" si="1"/>
        <v>74.428437915611013</v>
      </c>
      <c r="AK36" s="11">
        <v>5651</v>
      </c>
      <c r="AL36" s="11">
        <f t="shared" si="2"/>
        <v>5576.5715620843894</v>
      </c>
    </row>
    <row r="37" spans="1:38" x14ac:dyDescent="0.3">
      <c r="A37" s="6"/>
      <c r="B37" s="6"/>
      <c r="C37" s="6"/>
      <c r="D37" s="6"/>
      <c r="E37" s="6"/>
      <c r="F37" s="6"/>
      <c r="G37" s="6" t="s">
        <v>84</v>
      </c>
      <c r="H37" s="7">
        <v>0</v>
      </c>
      <c r="I37" s="8">
        <v>0</v>
      </c>
      <c r="J37" s="8">
        <v>7.052186177715092E-3</v>
      </c>
      <c r="K37" s="9">
        <v>5</v>
      </c>
      <c r="L37" s="7">
        <v>0</v>
      </c>
      <c r="M37" s="7">
        <v>0</v>
      </c>
      <c r="N37" s="7">
        <v>0</v>
      </c>
      <c r="O37" s="7">
        <v>0</v>
      </c>
      <c r="P37" s="7">
        <f t="shared" ref="P37:P68" si="9">SUM(L37:O37)</f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f t="shared" si="8"/>
        <v>8.0956884080569775</v>
      </c>
      <c r="W37" s="7">
        <f t="shared" si="8"/>
        <v>12.091637173572281</v>
      </c>
      <c r="X37" s="7">
        <f t="shared" si="8"/>
        <v>12.766277874243695</v>
      </c>
      <c r="Y37" s="7">
        <f t="shared" si="8"/>
        <v>13.181441382349181</v>
      </c>
      <c r="Z37" s="7">
        <f t="shared" si="8"/>
        <v>13.830134363764003</v>
      </c>
      <c r="AA37" s="7">
        <f t="shared" si="8"/>
        <v>14.037716117816746</v>
      </c>
      <c r="AB37" s="7">
        <f t="shared" si="8"/>
        <v>13.88202980227719</v>
      </c>
      <c r="AC37" s="7">
        <f t="shared" si="8"/>
        <v>14.037716117816746</v>
      </c>
      <c r="AD37" s="7">
        <f t="shared" si="8"/>
        <v>14.037716117816746</v>
      </c>
      <c r="AE37" s="7">
        <f t="shared" si="8"/>
        <v>13.907977521533782</v>
      </c>
      <c r="AF37" s="7">
        <f t="shared" si="8"/>
        <v>13.856082083020597</v>
      </c>
      <c r="AG37" s="7">
        <f t="shared" si="8"/>
        <v>14.037716117816746</v>
      </c>
      <c r="AH37" s="7">
        <f t="shared" si="8"/>
        <v>14.193402433356304</v>
      </c>
      <c r="AI37" s="7">
        <f t="shared" si="8"/>
        <v>14.115559275586525</v>
      </c>
      <c r="AJ37" s="7">
        <f t="shared" ref="AJ37:AJ68" si="10">SUM(Q37:AI37)</f>
        <v>186.07109478902751</v>
      </c>
      <c r="AK37" s="7">
        <v>5428</v>
      </c>
      <c r="AL37" s="7">
        <f t="shared" ref="AL37:AL68" si="11">AK37-AJ37</f>
        <v>5241.9289052109725</v>
      </c>
    </row>
    <row r="38" spans="1:38" x14ac:dyDescent="0.3">
      <c r="A38" s="10"/>
      <c r="B38" s="10"/>
      <c r="C38" s="10"/>
      <c r="D38" s="10"/>
      <c r="E38" s="10"/>
      <c r="F38" s="10"/>
      <c r="G38" s="10" t="s">
        <v>85</v>
      </c>
      <c r="H38" s="11">
        <v>1</v>
      </c>
      <c r="I38" s="8">
        <v>3.1847133757961789E-3</v>
      </c>
      <c r="J38" s="8">
        <v>9.8730606488011286E-3</v>
      </c>
      <c r="K38" s="9">
        <v>7</v>
      </c>
      <c r="L38" s="11">
        <v>0</v>
      </c>
      <c r="M38" s="11">
        <v>0</v>
      </c>
      <c r="N38" s="11">
        <v>1</v>
      </c>
      <c r="O38" s="11">
        <v>1</v>
      </c>
      <c r="P38" s="11">
        <f t="shared" si="9"/>
        <v>2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f t="shared" ref="V38:AI47" si="12">3.67938659058487*V$3*$J38</f>
        <v>11.333963771279768</v>
      </c>
      <c r="W38" s="11">
        <f t="shared" si="12"/>
        <v>16.928292043001193</v>
      </c>
      <c r="X38" s="11">
        <f t="shared" si="12"/>
        <v>17.872789023941174</v>
      </c>
      <c r="Y38" s="11">
        <f t="shared" si="12"/>
        <v>18.454017935288853</v>
      </c>
      <c r="Z38" s="11">
        <f t="shared" si="12"/>
        <v>19.362188109269606</v>
      </c>
      <c r="AA38" s="11">
        <f t="shared" si="12"/>
        <v>19.652802564943446</v>
      </c>
      <c r="AB38" s="11">
        <f t="shared" si="12"/>
        <v>19.434841723188065</v>
      </c>
      <c r="AC38" s="11">
        <f t="shared" si="12"/>
        <v>19.652802564943446</v>
      </c>
      <c r="AD38" s="11">
        <f t="shared" si="12"/>
        <v>19.652802564943446</v>
      </c>
      <c r="AE38" s="11">
        <f t="shared" si="12"/>
        <v>19.471168530147295</v>
      </c>
      <c r="AF38" s="11">
        <f t="shared" si="12"/>
        <v>19.398514916228837</v>
      </c>
      <c r="AG38" s="11">
        <f t="shared" si="12"/>
        <v>19.652802564943446</v>
      </c>
      <c r="AH38" s="11">
        <f t="shared" si="12"/>
        <v>19.870763406698824</v>
      </c>
      <c r="AI38" s="11">
        <f t="shared" si="12"/>
        <v>19.761782985821135</v>
      </c>
      <c r="AJ38" s="11">
        <f t="shared" si="10"/>
        <v>260.49953270463851</v>
      </c>
      <c r="AK38" s="11">
        <v>5402</v>
      </c>
      <c r="AL38" s="11">
        <f t="shared" si="11"/>
        <v>5141.5004672953619</v>
      </c>
    </row>
    <row r="39" spans="1:38" x14ac:dyDescent="0.3">
      <c r="A39" s="6"/>
      <c r="B39" s="6"/>
      <c r="C39" s="6"/>
      <c r="D39" s="6"/>
      <c r="E39" s="6"/>
      <c r="F39" s="6"/>
      <c r="G39" s="6" t="s">
        <v>86</v>
      </c>
      <c r="H39" s="7">
        <v>0</v>
      </c>
      <c r="I39" s="8">
        <v>0</v>
      </c>
      <c r="J39" s="8">
        <v>0</v>
      </c>
      <c r="K39" s="9">
        <v>0</v>
      </c>
      <c r="L39" s="7">
        <v>0</v>
      </c>
      <c r="M39" s="7">
        <v>0</v>
      </c>
      <c r="N39" s="7">
        <v>0</v>
      </c>
      <c r="O39" s="7">
        <v>0</v>
      </c>
      <c r="P39" s="7">
        <f t="shared" si="9"/>
        <v>0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f t="shared" si="12"/>
        <v>0</v>
      </c>
      <c r="W39" s="7">
        <f t="shared" si="12"/>
        <v>0</v>
      </c>
      <c r="X39" s="7">
        <f t="shared" si="12"/>
        <v>0</v>
      </c>
      <c r="Y39" s="7">
        <f t="shared" si="12"/>
        <v>0</v>
      </c>
      <c r="Z39" s="7">
        <f t="shared" si="12"/>
        <v>0</v>
      </c>
      <c r="AA39" s="7">
        <f t="shared" si="12"/>
        <v>0</v>
      </c>
      <c r="AB39" s="7">
        <f t="shared" si="12"/>
        <v>0</v>
      </c>
      <c r="AC39" s="7">
        <f t="shared" si="12"/>
        <v>0</v>
      </c>
      <c r="AD39" s="7">
        <f t="shared" si="12"/>
        <v>0</v>
      </c>
      <c r="AE39" s="7">
        <f t="shared" si="12"/>
        <v>0</v>
      </c>
      <c r="AF39" s="7">
        <f t="shared" si="12"/>
        <v>0</v>
      </c>
      <c r="AG39" s="7">
        <f t="shared" si="12"/>
        <v>0</v>
      </c>
      <c r="AH39" s="7">
        <f t="shared" si="12"/>
        <v>0</v>
      </c>
      <c r="AI39" s="7">
        <f t="shared" si="12"/>
        <v>0</v>
      </c>
      <c r="AJ39" s="7">
        <f t="shared" si="10"/>
        <v>1</v>
      </c>
      <c r="AK39" s="7">
        <v>5239</v>
      </c>
      <c r="AL39" s="7">
        <f t="shared" si="11"/>
        <v>5238</v>
      </c>
    </row>
    <row r="40" spans="1:38" x14ac:dyDescent="0.3">
      <c r="A40" s="10"/>
      <c r="B40" s="10"/>
      <c r="C40" s="10"/>
      <c r="D40" s="10"/>
      <c r="E40" s="10"/>
      <c r="F40" s="10"/>
      <c r="G40" s="10" t="s">
        <v>87</v>
      </c>
      <c r="H40" s="11">
        <v>0</v>
      </c>
      <c r="I40" s="8">
        <v>0</v>
      </c>
      <c r="J40" s="8">
        <v>5.6417489421720732E-3</v>
      </c>
      <c r="K40" s="9">
        <v>4</v>
      </c>
      <c r="L40" s="11">
        <v>0</v>
      </c>
      <c r="M40" s="11">
        <v>0</v>
      </c>
      <c r="N40" s="11">
        <v>0</v>
      </c>
      <c r="O40" s="11">
        <v>0</v>
      </c>
      <c r="P40" s="11">
        <f t="shared" si="9"/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f t="shared" si="12"/>
        <v>6.4765507264455815</v>
      </c>
      <c r="W40" s="11">
        <f t="shared" si="12"/>
        <v>9.6733097388578244</v>
      </c>
      <c r="X40" s="11">
        <f t="shared" si="12"/>
        <v>10.213022299394956</v>
      </c>
      <c r="Y40" s="11">
        <f t="shared" si="12"/>
        <v>10.545153105879344</v>
      </c>
      <c r="Z40" s="11">
        <f t="shared" si="12"/>
        <v>11.064107491011201</v>
      </c>
      <c r="AA40" s="11">
        <f t="shared" si="12"/>
        <v>11.230172894253396</v>
      </c>
      <c r="AB40" s="11">
        <f t="shared" si="12"/>
        <v>11.10562384182175</v>
      </c>
      <c r="AC40" s="11">
        <f t="shared" si="12"/>
        <v>11.230172894253396</v>
      </c>
      <c r="AD40" s="11">
        <f t="shared" si="12"/>
        <v>11.230172894253396</v>
      </c>
      <c r="AE40" s="11">
        <f t="shared" si="12"/>
        <v>11.126382017227025</v>
      </c>
      <c r="AF40" s="11">
        <f t="shared" si="12"/>
        <v>11.084865666416476</v>
      </c>
      <c r="AG40" s="11">
        <f t="shared" si="12"/>
        <v>11.230172894253396</v>
      </c>
      <c r="AH40" s="11">
        <f t="shared" si="12"/>
        <v>11.354721946685043</v>
      </c>
      <c r="AI40" s="11">
        <f t="shared" si="12"/>
        <v>11.29244742046922</v>
      </c>
      <c r="AJ40" s="11">
        <f t="shared" si="10"/>
        <v>148.85687583122203</v>
      </c>
      <c r="AK40" s="11">
        <v>4826</v>
      </c>
      <c r="AL40" s="11">
        <f t="shared" si="11"/>
        <v>4677.1431241687778</v>
      </c>
    </row>
    <row r="41" spans="1:38" x14ac:dyDescent="0.3">
      <c r="A41" s="6"/>
      <c r="B41" s="6"/>
      <c r="C41" s="6"/>
      <c r="D41" s="6"/>
      <c r="E41" s="6"/>
      <c r="F41" s="6"/>
      <c r="G41" s="6" t="s">
        <v>88</v>
      </c>
      <c r="H41" s="7">
        <v>0</v>
      </c>
      <c r="I41" s="8">
        <v>0</v>
      </c>
      <c r="J41" s="8">
        <v>8.4626234132581107E-3</v>
      </c>
      <c r="K41" s="9">
        <v>6</v>
      </c>
      <c r="L41" s="7">
        <v>0</v>
      </c>
      <c r="M41" s="7">
        <v>0</v>
      </c>
      <c r="N41" s="7">
        <v>0</v>
      </c>
      <c r="O41" s="7">
        <v>0</v>
      </c>
      <c r="P41" s="7">
        <f t="shared" si="9"/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f t="shared" si="12"/>
        <v>9.7148260896683727</v>
      </c>
      <c r="W41" s="7">
        <f t="shared" si="12"/>
        <v>14.509964608286738</v>
      </c>
      <c r="X41" s="7">
        <f t="shared" si="12"/>
        <v>15.319533449092434</v>
      </c>
      <c r="Y41" s="7">
        <f t="shared" si="12"/>
        <v>15.817729658819019</v>
      </c>
      <c r="Z41" s="7">
        <f t="shared" si="12"/>
        <v>16.596161236516807</v>
      </c>
      <c r="AA41" s="7">
        <f t="shared" si="12"/>
        <v>16.845259341380096</v>
      </c>
      <c r="AB41" s="7">
        <f t="shared" si="12"/>
        <v>16.658435762732626</v>
      </c>
      <c r="AC41" s="7">
        <f t="shared" si="12"/>
        <v>16.845259341380096</v>
      </c>
      <c r="AD41" s="7">
        <f t="shared" si="12"/>
        <v>16.845259341380096</v>
      </c>
      <c r="AE41" s="7">
        <f t="shared" si="12"/>
        <v>16.689573025840538</v>
      </c>
      <c r="AF41" s="7">
        <f t="shared" si="12"/>
        <v>16.627298499624718</v>
      </c>
      <c r="AG41" s="7">
        <f t="shared" si="12"/>
        <v>16.845259341380096</v>
      </c>
      <c r="AH41" s="7">
        <f t="shared" si="12"/>
        <v>17.032082920027566</v>
      </c>
      <c r="AI41" s="7">
        <f t="shared" si="12"/>
        <v>16.938671130703831</v>
      </c>
      <c r="AJ41" s="7">
        <f t="shared" si="10"/>
        <v>223.285313746833</v>
      </c>
      <c r="AK41" s="7">
        <v>4625</v>
      </c>
      <c r="AL41" s="7">
        <f t="shared" si="11"/>
        <v>4401.7146862531672</v>
      </c>
    </row>
    <row r="42" spans="1:38" x14ac:dyDescent="0.3">
      <c r="A42" s="10"/>
      <c r="B42" s="10"/>
      <c r="C42" s="10"/>
      <c r="D42" s="10"/>
      <c r="E42" s="10"/>
      <c r="F42" s="10"/>
      <c r="G42" s="10" t="s">
        <v>89</v>
      </c>
      <c r="H42" s="11">
        <v>0</v>
      </c>
      <c r="I42" s="8">
        <v>0</v>
      </c>
      <c r="J42" s="8">
        <v>5.6417489421720732E-3</v>
      </c>
      <c r="K42" s="9">
        <v>4</v>
      </c>
      <c r="L42" s="11">
        <v>0</v>
      </c>
      <c r="M42" s="11">
        <v>0</v>
      </c>
      <c r="N42" s="11">
        <v>0</v>
      </c>
      <c r="O42" s="11">
        <v>0</v>
      </c>
      <c r="P42" s="11">
        <f t="shared" si="9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f t="shared" si="12"/>
        <v>6.4765507264455815</v>
      </c>
      <c r="W42" s="11">
        <f t="shared" si="12"/>
        <v>9.6733097388578244</v>
      </c>
      <c r="X42" s="11">
        <f t="shared" si="12"/>
        <v>10.213022299394956</v>
      </c>
      <c r="Y42" s="11">
        <f t="shared" si="12"/>
        <v>10.545153105879344</v>
      </c>
      <c r="Z42" s="11">
        <f t="shared" si="12"/>
        <v>11.064107491011201</v>
      </c>
      <c r="AA42" s="11">
        <f t="shared" si="12"/>
        <v>11.230172894253396</v>
      </c>
      <c r="AB42" s="11">
        <f t="shared" si="12"/>
        <v>11.10562384182175</v>
      </c>
      <c r="AC42" s="11">
        <f t="shared" si="12"/>
        <v>11.230172894253396</v>
      </c>
      <c r="AD42" s="11">
        <f t="shared" si="12"/>
        <v>11.230172894253396</v>
      </c>
      <c r="AE42" s="11">
        <f t="shared" si="12"/>
        <v>11.126382017227025</v>
      </c>
      <c r="AF42" s="11">
        <f t="shared" si="12"/>
        <v>11.084865666416476</v>
      </c>
      <c r="AG42" s="11">
        <f t="shared" si="12"/>
        <v>11.230172894253396</v>
      </c>
      <c r="AH42" s="11">
        <f t="shared" si="12"/>
        <v>11.354721946685043</v>
      </c>
      <c r="AI42" s="11">
        <f t="shared" si="12"/>
        <v>11.29244742046922</v>
      </c>
      <c r="AJ42" s="11">
        <f t="shared" si="10"/>
        <v>148.85687583122203</v>
      </c>
      <c r="AK42" s="11">
        <v>4241</v>
      </c>
      <c r="AL42" s="11">
        <f t="shared" si="11"/>
        <v>4092.1431241687778</v>
      </c>
    </row>
    <row r="43" spans="1:38" x14ac:dyDescent="0.3">
      <c r="A43" s="6"/>
      <c r="B43" s="6"/>
      <c r="C43" s="6"/>
      <c r="D43" s="6"/>
      <c r="E43" s="6"/>
      <c r="F43" s="6"/>
      <c r="G43" s="6" t="s">
        <v>90</v>
      </c>
      <c r="H43" s="7">
        <v>0</v>
      </c>
      <c r="I43" s="8">
        <v>0</v>
      </c>
      <c r="J43" s="8">
        <v>4.2313117066290554E-3</v>
      </c>
      <c r="K43" s="9">
        <v>3</v>
      </c>
      <c r="L43" s="7">
        <v>0</v>
      </c>
      <c r="M43" s="7">
        <v>0</v>
      </c>
      <c r="N43" s="7">
        <v>0</v>
      </c>
      <c r="O43" s="7">
        <v>0</v>
      </c>
      <c r="P43" s="7">
        <f t="shared" si="9"/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f t="shared" si="12"/>
        <v>4.8574130448341863</v>
      </c>
      <c r="W43" s="7">
        <f t="shared" si="12"/>
        <v>7.2549823041433692</v>
      </c>
      <c r="X43" s="7">
        <f t="shared" si="12"/>
        <v>7.6597667245462171</v>
      </c>
      <c r="Y43" s="7">
        <f t="shared" si="12"/>
        <v>7.9088648294095094</v>
      </c>
      <c r="Z43" s="7">
        <f t="shared" si="12"/>
        <v>8.2980806182584033</v>
      </c>
      <c r="AA43" s="7">
        <f t="shared" si="12"/>
        <v>8.4226296706900481</v>
      </c>
      <c r="AB43" s="7">
        <f t="shared" si="12"/>
        <v>8.3292178813663131</v>
      </c>
      <c r="AC43" s="7">
        <f t="shared" si="12"/>
        <v>8.4226296706900481</v>
      </c>
      <c r="AD43" s="7">
        <f t="shared" si="12"/>
        <v>8.4226296706900481</v>
      </c>
      <c r="AE43" s="7">
        <f t="shared" si="12"/>
        <v>8.344786512920269</v>
      </c>
      <c r="AF43" s="7">
        <f t="shared" si="12"/>
        <v>8.3136492498123591</v>
      </c>
      <c r="AG43" s="7">
        <f t="shared" si="12"/>
        <v>8.4226296706900481</v>
      </c>
      <c r="AH43" s="7">
        <f t="shared" si="12"/>
        <v>8.516041460013783</v>
      </c>
      <c r="AI43" s="7">
        <f t="shared" si="12"/>
        <v>8.4693355653519156</v>
      </c>
      <c r="AJ43" s="7">
        <f t="shared" si="10"/>
        <v>111.6426568734165</v>
      </c>
      <c r="AK43" s="7">
        <v>4187</v>
      </c>
      <c r="AL43" s="7">
        <f t="shared" si="11"/>
        <v>4075.3573431265836</v>
      </c>
    </row>
    <row r="44" spans="1:38" x14ac:dyDescent="0.3">
      <c r="A44" s="10"/>
      <c r="B44" s="10"/>
      <c r="C44" s="10"/>
      <c r="D44" s="10"/>
      <c r="E44" s="10"/>
      <c r="F44" s="10"/>
      <c r="G44" s="10" t="s">
        <v>91</v>
      </c>
      <c r="H44" s="11">
        <v>0</v>
      </c>
      <c r="I44" s="8">
        <v>0</v>
      </c>
      <c r="J44" s="8">
        <v>5.6417489421720732E-3</v>
      </c>
      <c r="K44" s="9">
        <v>4</v>
      </c>
      <c r="L44" s="11">
        <v>0</v>
      </c>
      <c r="M44" s="11">
        <v>0</v>
      </c>
      <c r="N44" s="11">
        <v>0</v>
      </c>
      <c r="O44" s="11">
        <v>0</v>
      </c>
      <c r="P44" s="11">
        <f t="shared" si="9"/>
        <v>0</v>
      </c>
      <c r="Q44" s="11">
        <v>1</v>
      </c>
      <c r="R44" s="11">
        <v>0</v>
      </c>
      <c r="S44" s="11">
        <v>0</v>
      </c>
      <c r="T44" s="11">
        <v>0</v>
      </c>
      <c r="U44" s="11">
        <v>0</v>
      </c>
      <c r="V44" s="11">
        <f t="shared" si="12"/>
        <v>6.4765507264455815</v>
      </c>
      <c r="W44" s="11">
        <f t="shared" si="12"/>
        <v>9.6733097388578244</v>
      </c>
      <c r="X44" s="11">
        <f t="shared" si="12"/>
        <v>10.213022299394956</v>
      </c>
      <c r="Y44" s="11">
        <f t="shared" si="12"/>
        <v>10.545153105879344</v>
      </c>
      <c r="Z44" s="11">
        <f t="shared" si="12"/>
        <v>11.064107491011201</v>
      </c>
      <c r="AA44" s="11">
        <f t="shared" si="12"/>
        <v>11.230172894253396</v>
      </c>
      <c r="AB44" s="11">
        <f t="shared" si="12"/>
        <v>11.10562384182175</v>
      </c>
      <c r="AC44" s="11">
        <f t="shared" si="12"/>
        <v>11.230172894253396</v>
      </c>
      <c r="AD44" s="11">
        <f t="shared" si="12"/>
        <v>11.230172894253396</v>
      </c>
      <c r="AE44" s="11">
        <f t="shared" si="12"/>
        <v>11.126382017227025</v>
      </c>
      <c r="AF44" s="11">
        <f t="shared" si="12"/>
        <v>11.084865666416476</v>
      </c>
      <c r="AG44" s="11">
        <f t="shared" si="12"/>
        <v>11.230172894253396</v>
      </c>
      <c r="AH44" s="11">
        <f t="shared" si="12"/>
        <v>11.354721946685043</v>
      </c>
      <c r="AI44" s="11">
        <f t="shared" si="12"/>
        <v>11.29244742046922</v>
      </c>
      <c r="AJ44" s="11">
        <f t="shared" si="10"/>
        <v>149.85687583122203</v>
      </c>
      <c r="AK44" s="11">
        <v>4068</v>
      </c>
      <c r="AL44" s="11">
        <f t="shared" si="11"/>
        <v>3918.1431241687778</v>
      </c>
    </row>
    <row r="45" spans="1:38" x14ac:dyDescent="0.3">
      <c r="A45" s="6"/>
      <c r="B45" s="6"/>
      <c r="C45" s="6"/>
      <c r="D45" s="6"/>
      <c r="E45" s="6"/>
      <c r="F45" s="6"/>
      <c r="G45" s="6" t="s">
        <v>92</v>
      </c>
      <c r="H45" s="7">
        <v>0</v>
      </c>
      <c r="I45" s="8">
        <v>0</v>
      </c>
      <c r="J45" s="8">
        <v>5.6417489421720732E-3</v>
      </c>
      <c r="K45" s="9">
        <v>4</v>
      </c>
      <c r="L45" s="7">
        <v>0</v>
      </c>
      <c r="M45" s="7">
        <v>0</v>
      </c>
      <c r="N45" s="7">
        <v>0</v>
      </c>
      <c r="O45" s="7">
        <v>0</v>
      </c>
      <c r="P45" s="7">
        <f t="shared" si="9"/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f t="shared" si="12"/>
        <v>6.4765507264455815</v>
      </c>
      <c r="W45" s="7">
        <f t="shared" si="12"/>
        <v>9.6733097388578244</v>
      </c>
      <c r="X45" s="7">
        <f t="shared" si="12"/>
        <v>10.213022299394956</v>
      </c>
      <c r="Y45" s="7">
        <f t="shared" si="12"/>
        <v>10.545153105879344</v>
      </c>
      <c r="Z45" s="7">
        <f t="shared" si="12"/>
        <v>11.064107491011201</v>
      </c>
      <c r="AA45" s="7">
        <f t="shared" si="12"/>
        <v>11.230172894253396</v>
      </c>
      <c r="AB45" s="7">
        <f t="shared" si="12"/>
        <v>11.10562384182175</v>
      </c>
      <c r="AC45" s="7">
        <f t="shared" si="12"/>
        <v>11.230172894253396</v>
      </c>
      <c r="AD45" s="7">
        <f t="shared" si="12"/>
        <v>11.230172894253396</v>
      </c>
      <c r="AE45" s="7">
        <f t="shared" si="12"/>
        <v>11.126382017227025</v>
      </c>
      <c r="AF45" s="7">
        <f t="shared" si="12"/>
        <v>11.084865666416476</v>
      </c>
      <c r="AG45" s="7">
        <f t="shared" si="12"/>
        <v>11.230172894253396</v>
      </c>
      <c r="AH45" s="7">
        <f t="shared" si="12"/>
        <v>11.354721946685043</v>
      </c>
      <c r="AI45" s="7">
        <f t="shared" si="12"/>
        <v>11.29244742046922</v>
      </c>
      <c r="AJ45" s="7">
        <f t="shared" si="10"/>
        <v>148.85687583122203</v>
      </c>
      <c r="AK45" s="7">
        <v>4032</v>
      </c>
      <c r="AL45" s="7">
        <f t="shared" si="11"/>
        <v>3883.1431241687778</v>
      </c>
    </row>
    <row r="46" spans="1:38" x14ac:dyDescent="0.3">
      <c r="A46" s="10"/>
      <c r="B46" s="10"/>
      <c r="C46" s="10"/>
      <c r="D46" s="10"/>
      <c r="E46" s="10"/>
      <c r="F46" s="10"/>
      <c r="G46" s="10" t="s">
        <v>93</v>
      </c>
      <c r="H46" s="11">
        <v>0</v>
      </c>
      <c r="I46" s="8">
        <v>0</v>
      </c>
      <c r="J46" s="8">
        <v>0</v>
      </c>
      <c r="K46" s="9">
        <v>0</v>
      </c>
      <c r="L46" s="11">
        <v>0</v>
      </c>
      <c r="M46" s="11">
        <v>0</v>
      </c>
      <c r="N46" s="11">
        <v>0</v>
      </c>
      <c r="O46" s="11">
        <v>0</v>
      </c>
      <c r="P46" s="11">
        <f t="shared" si="9"/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f t="shared" si="12"/>
        <v>0</v>
      </c>
      <c r="W46" s="11">
        <f t="shared" si="12"/>
        <v>0</v>
      </c>
      <c r="X46" s="11">
        <f t="shared" si="12"/>
        <v>0</v>
      </c>
      <c r="Y46" s="11">
        <f t="shared" si="12"/>
        <v>0</v>
      </c>
      <c r="Z46" s="11">
        <f t="shared" si="12"/>
        <v>0</v>
      </c>
      <c r="AA46" s="11">
        <f t="shared" si="12"/>
        <v>0</v>
      </c>
      <c r="AB46" s="11">
        <f t="shared" si="12"/>
        <v>0</v>
      </c>
      <c r="AC46" s="11">
        <f t="shared" si="12"/>
        <v>0</v>
      </c>
      <c r="AD46" s="11">
        <f t="shared" si="12"/>
        <v>0</v>
      </c>
      <c r="AE46" s="11">
        <f t="shared" si="12"/>
        <v>0</v>
      </c>
      <c r="AF46" s="11">
        <f t="shared" si="12"/>
        <v>0</v>
      </c>
      <c r="AG46" s="11">
        <f t="shared" si="12"/>
        <v>0</v>
      </c>
      <c r="AH46" s="11">
        <f t="shared" si="12"/>
        <v>0</v>
      </c>
      <c r="AI46" s="11">
        <f t="shared" si="12"/>
        <v>0</v>
      </c>
      <c r="AJ46" s="11">
        <f t="shared" si="10"/>
        <v>0</v>
      </c>
      <c r="AK46" s="11">
        <v>3804</v>
      </c>
      <c r="AL46" s="11">
        <f t="shared" si="11"/>
        <v>3804</v>
      </c>
    </row>
    <row r="47" spans="1:38" x14ac:dyDescent="0.3">
      <c r="A47" s="6"/>
      <c r="B47" s="6"/>
      <c r="C47" s="6"/>
      <c r="D47" s="6"/>
      <c r="E47" s="6"/>
      <c r="F47" s="6"/>
      <c r="G47" s="6" t="s">
        <v>94</v>
      </c>
      <c r="H47" s="7">
        <v>2</v>
      </c>
      <c r="I47" s="8">
        <v>6.369426751592357E-3</v>
      </c>
      <c r="J47" s="8">
        <v>7.052186177715092E-3</v>
      </c>
      <c r="K47" s="9">
        <v>5</v>
      </c>
      <c r="L47" s="7">
        <v>0</v>
      </c>
      <c r="M47" s="7">
        <v>12</v>
      </c>
      <c r="N47" s="7">
        <v>69</v>
      </c>
      <c r="O47" s="7">
        <v>66</v>
      </c>
      <c r="P47" s="7">
        <f t="shared" si="9"/>
        <v>147</v>
      </c>
      <c r="Q47" s="7">
        <v>15</v>
      </c>
      <c r="R47" s="7">
        <v>0</v>
      </c>
      <c r="S47" s="7">
        <v>0</v>
      </c>
      <c r="T47" s="7">
        <v>0</v>
      </c>
      <c r="U47" s="7">
        <v>0</v>
      </c>
      <c r="V47" s="7">
        <f t="shared" si="12"/>
        <v>8.0956884080569775</v>
      </c>
      <c r="W47" s="7">
        <f t="shared" si="12"/>
        <v>12.091637173572281</v>
      </c>
      <c r="X47" s="7">
        <f t="shared" si="12"/>
        <v>12.766277874243695</v>
      </c>
      <c r="Y47" s="7">
        <f t="shared" si="12"/>
        <v>13.181441382349181</v>
      </c>
      <c r="Z47" s="7">
        <f t="shared" si="12"/>
        <v>13.830134363764003</v>
      </c>
      <c r="AA47" s="7">
        <f t="shared" si="12"/>
        <v>14.037716117816746</v>
      </c>
      <c r="AB47" s="7">
        <f t="shared" si="12"/>
        <v>13.88202980227719</v>
      </c>
      <c r="AC47" s="7">
        <f t="shared" si="12"/>
        <v>14.037716117816746</v>
      </c>
      <c r="AD47" s="7">
        <f t="shared" si="12"/>
        <v>14.037716117816746</v>
      </c>
      <c r="AE47" s="7">
        <f t="shared" si="12"/>
        <v>13.907977521533782</v>
      </c>
      <c r="AF47" s="7">
        <f t="shared" si="12"/>
        <v>13.856082083020597</v>
      </c>
      <c r="AG47" s="7">
        <f t="shared" si="12"/>
        <v>14.037716117816746</v>
      </c>
      <c r="AH47" s="7">
        <f t="shared" si="12"/>
        <v>14.193402433356304</v>
      </c>
      <c r="AI47" s="7">
        <f t="shared" si="12"/>
        <v>14.115559275586525</v>
      </c>
      <c r="AJ47" s="7">
        <f t="shared" si="10"/>
        <v>201.07109478902751</v>
      </c>
      <c r="AK47" s="7">
        <v>3781</v>
      </c>
      <c r="AL47" s="7">
        <f t="shared" si="11"/>
        <v>3579.9289052109725</v>
      </c>
    </row>
    <row r="48" spans="1:38" x14ac:dyDescent="0.3">
      <c r="A48" s="10"/>
      <c r="B48" s="10"/>
      <c r="C48" s="10"/>
      <c r="D48" s="10"/>
      <c r="E48" s="10"/>
      <c r="F48" s="10"/>
      <c r="G48" s="10" t="s">
        <v>95</v>
      </c>
      <c r="H48" s="11">
        <v>0</v>
      </c>
      <c r="I48" s="8">
        <v>0</v>
      </c>
      <c r="J48" s="8">
        <v>2.8208744710860371E-3</v>
      </c>
      <c r="K48" s="9">
        <v>2</v>
      </c>
      <c r="L48" s="11">
        <v>0</v>
      </c>
      <c r="M48" s="11">
        <v>0</v>
      </c>
      <c r="N48" s="11">
        <v>0</v>
      </c>
      <c r="O48" s="11">
        <v>0</v>
      </c>
      <c r="P48" s="11">
        <f t="shared" si="9"/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f t="shared" ref="V48:AI57" si="13">3.67938659058487*V$3*$J48</f>
        <v>3.2382753632227912</v>
      </c>
      <c r="W48" s="11">
        <f t="shared" si="13"/>
        <v>4.8366548694289131</v>
      </c>
      <c r="X48" s="11">
        <f t="shared" si="13"/>
        <v>5.1065111496974787</v>
      </c>
      <c r="Y48" s="11">
        <f t="shared" si="13"/>
        <v>5.2725765529396726</v>
      </c>
      <c r="Z48" s="11">
        <f t="shared" si="13"/>
        <v>5.5320537455056016</v>
      </c>
      <c r="AA48" s="11">
        <f t="shared" si="13"/>
        <v>5.615086447126699</v>
      </c>
      <c r="AB48" s="11">
        <f t="shared" si="13"/>
        <v>5.5528119209108757</v>
      </c>
      <c r="AC48" s="11">
        <f t="shared" si="13"/>
        <v>5.615086447126699</v>
      </c>
      <c r="AD48" s="11">
        <f t="shared" si="13"/>
        <v>5.615086447126699</v>
      </c>
      <c r="AE48" s="11">
        <f t="shared" si="13"/>
        <v>5.5631910086135132</v>
      </c>
      <c r="AF48" s="11">
        <f t="shared" si="13"/>
        <v>5.5424328332082391</v>
      </c>
      <c r="AG48" s="11">
        <f t="shared" si="13"/>
        <v>5.615086447126699</v>
      </c>
      <c r="AH48" s="11">
        <f t="shared" si="13"/>
        <v>5.6773609733425223</v>
      </c>
      <c r="AI48" s="11">
        <f t="shared" si="13"/>
        <v>5.6462237102346107</v>
      </c>
      <c r="AJ48" s="11">
        <f t="shared" si="10"/>
        <v>74.428437915611013</v>
      </c>
      <c r="AK48" s="11">
        <v>3724</v>
      </c>
      <c r="AL48" s="11">
        <f t="shared" si="11"/>
        <v>3649.5715620843889</v>
      </c>
    </row>
    <row r="49" spans="1:38" x14ac:dyDescent="0.3">
      <c r="A49" s="6"/>
      <c r="B49" s="6"/>
      <c r="C49" s="6"/>
      <c r="D49" s="6"/>
      <c r="E49" s="6"/>
      <c r="F49" s="6"/>
      <c r="G49" s="6" t="s">
        <v>96</v>
      </c>
      <c r="H49" s="7">
        <v>0</v>
      </c>
      <c r="I49" s="8">
        <v>0</v>
      </c>
      <c r="J49" s="8">
        <v>1.4104372355430181E-3</v>
      </c>
      <c r="K49" s="9">
        <v>1</v>
      </c>
      <c r="L49" s="7">
        <v>0</v>
      </c>
      <c r="M49" s="7">
        <v>0</v>
      </c>
      <c r="N49" s="7">
        <v>0</v>
      </c>
      <c r="O49" s="7">
        <v>0</v>
      </c>
      <c r="P49" s="7">
        <f t="shared" si="9"/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f t="shared" si="13"/>
        <v>1.6191376816113952</v>
      </c>
      <c r="W49" s="7">
        <f t="shared" si="13"/>
        <v>2.4183274347144557</v>
      </c>
      <c r="X49" s="7">
        <f t="shared" si="13"/>
        <v>2.5532555748487384</v>
      </c>
      <c r="Y49" s="7">
        <f t="shared" si="13"/>
        <v>2.6362882764698359</v>
      </c>
      <c r="Z49" s="7">
        <f t="shared" si="13"/>
        <v>2.7660268727528003</v>
      </c>
      <c r="AA49" s="7">
        <f t="shared" si="13"/>
        <v>2.8075432235633486</v>
      </c>
      <c r="AB49" s="7">
        <f t="shared" si="13"/>
        <v>2.7764059604554374</v>
      </c>
      <c r="AC49" s="7">
        <f t="shared" si="13"/>
        <v>2.8075432235633486</v>
      </c>
      <c r="AD49" s="7">
        <f t="shared" si="13"/>
        <v>2.8075432235633486</v>
      </c>
      <c r="AE49" s="7">
        <f t="shared" si="13"/>
        <v>2.7815955043067557</v>
      </c>
      <c r="AF49" s="7">
        <f t="shared" si="13"/>
        <v>2.7712164166041187</v>
      </c>
      <c r="AG49" s="7">
        <f t="shared" si="13"/>
        <v>2.8075432235633486</v>
      </c>
      <c r="AH49" s="7">
        <f t="shared" si="13"/>
        <v>2.8386804866712603</v>
      </c>
      <c r="AI49" s="7">
        <f t="shared" si="13"/>
        <v>2.8231118551173044</v>
      </c>
      <c r="AJ49" s="7">
        <f t="shared" si="10"/>
        <v>37.2142189578055</v>
      </c>
      <c r="AK49" s="7">
        <v>3685</v>
      </c>
      <c r="AL49" s="7">
        <f t="shared" si="11"/>
        <v>3647.7857810421947</v>
      </c>
    </row>
    <row r="50" spans="1:38" x14ac:dyDescent="0.3">
      <c r="A50" s="10"/>
      <c r="B50" s="10"/>
      <c r="C50" s="10"/>
      <c r="D50" s="10"/>
      <c r="E50" s="10"/>
      <c r="F50" s="10"/>
      <c r="G50" s="10" t="s">
        <v>97</v>
      </c>
      <c r="H50" s="11">
        <v>1</v>
      </c>
      <c r="I50" s="8">
        <v>3.1847133757961789E-3</v>
      </c>
      <c r="J50" s="8">
        <v>4.2313117066290554E-3</v>
      </c>
      <c r="K50" s="9">
        <v>3</v>
      </c>
      <c r="L50" s="11">
        <v>0</v>
      </c>
      <c r="M50" s="11">
        <v>0</v>
      </c>
      <c r="N50" s="11">
        <v>0</v>
      </c>
      <c r="O50" s="11">
        <v>0</v>
      </c>
      <c r="P50" s="11">
        <f t="shared" si="9"/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f t="shared" si="13"/>
        <v>4.8574130448341863</v>
      </c>
      <c r="W50" s="11">
        <f t="shared" si="13"/>
        <v>7.2549823041433692</v>
      </c>
      <c r="X50" s="11">
        <f t="shared" si="13"/>
        <v>7.6597667245462171</v>
      </c>
      <c r="Y50" s="11">
        <f t="shared" si="13"/>
        <v>7.9088648294095094</v>
      </c>
      <c r="Z50" s="11">
        <f t="shared" si="13"/>
        <v>8.2980806182584033</v>
      </c>
      <c r="AA50" s="11">
        <f t="shared" si="13"/>
        <v>8.4226296706900481</v>
      </c>
      <c r="AB50" s="11">
        <f t="shared" si="13"/>
        <v>8.3292178813663131</v>
      </c>
      <c r="AC50" s="11">
        <f t="shared" si="13"/>
        <v>8.4226296706900481</v>
      </c>
      <c r="AD50" s="11">
        <f t="shared" si="13"/>
        <v>8.4226296706900481</v>
      </c>
      <c r="AE50" s="11">
        <f t="shared" si="13"/>
        <v>8.344786512920269</v>
      </c>
      <c r="AF50" s="11">
        <f t="shared" si="13"/>
        <v>8.3136492498123591</v>
      </c>
      <c r="AG50" s="11">
        <f t="shared" si="13"/>
        <v>8.4226296706900481</v>
      </c>
      <c r="AH50" s="11">
        <f t="shared" si="13"/>
        <v>8.516041460013783</v>
      </c>
      <c r="AI50" s="11">
        <f t="shared" si="13"/>
        <v>8.4693355653519156</v>
      </c>
      <c r="AJ50" s="11">
        <f t="shared" si="10"/>
        <v>111.6426568734165</v>
      </c>
      <c r="AK50" s="11">
        <v>3540</v>
      </c>
      <c r="AL50" s="11">
        <f t="shared" si="11"/>
        <v>3428.3573431265836</v>
      </c>
    </row>
    <row r="51" spans="1:38" x14ac:dyDescent="0.3">
      <c r="A51" s="6"/>
      <c r="B51" s="6"/>
      <c r="C51" s="6"/>
      <c r="D51" s="6"/>
      <c r="E51" s="6"/>
      <c r="F51" s="6"/>
      <c r="G51" s="6" t="s">
        <v>98</v>
      </c>
      <c r="H51" s="7">
        <v>0</v>
      </c>
      <c r="I51" s="8">
        <v>0</v>
      </c>
      <c r="J51" s="8">
        <v>8.4626234132581107E-3</v>
      </c>
      <c r="K51" s="9">
        <v>6</v>
      </c>
      <c r="L51" s="7">
        <v>0</v>
      </c>
      <c r="M51" s="7">
        <v>0</v>
      </c>
      <c r="N51" s="7">
        <v>0</v>
      </c>
      <c r="O51" s="7">
        <v>0</v>
      </c>
      <c r="P51" s="7">
        <f t="shared" si="9"/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f t="shared" si="13"/>
        <v>9.7148260896683727</v>
      </c>
      <c r="W51" s="7">
        <f t="shared" si="13"/>
        <v>14.509964608286738</v>
      </c>
      <c r="X51" s="7">
        <f t="shared" si="13"/>
        <v>15.319533449092434</v>
      </c>
      <c r="Y51" s="7">
        <f t="shared" si="13"/>
        <v>15.817729658819019</v>
      </c>
      <c r="Z51" s="7">
        <f t="shared" si="13"/>
        <v>16.596161236516807</v>
      </c>
      <c r="AA51" s="7">
        <f t="shared" si="13"/>
        <v>16.845259341380096</v>
      </c>
      <c r="AB51" s="7">
        <f t="shared" si="13"/>
        <v>16.658435762732626</v>
      </c>
      <c r="AC51" s="7">
        <f t="shared" si="13"/>
        <v>16.845259341380096</v>
      </c>
      <c r="AD51" s="7">
        <f t="shared" si="13"/>
        <v>16.845259341380096</v>
      </c>
      <c r="AE51" s="7">
        <f t="shared" si="13"/>
        <v>16.689573025840538</v>
      </c>
      <c r="AF51" s="7">
        <f t="shared" si="13"/>
        <v>16.627298499624718</v>
      </c>
      <c r="AG51" s="7">
        <f t="shared" si="13"/>
        <v>16.845259341380096</v>
      </c>
      <c r="AH51" s="7">
        <f t="shared" si="13"/>
        <v>17.032082920027566</v>
      </c>
      <c r="AI51" s="7">
        <f t="shared" si="13"/>
        <v>16.938671130703831</v>
      </c>
      <c r="AJ51" s="7">
        <f t="shared" si="10"/>
        <v>223.285313746833</v>
      </c>
      <c r="AK51" s="7">
        <v>3329</v>
      </c>
      <c r="AL51" s="7">
        <f t="shared" si="11"/>
        <v>3105.7146862531672</v>
      </c>
    </row>
    <row r="52" spans="1:38" x14ac:dyDescent="0.3">
      <c r="A52" s="10"/>
      <c r="B52" s="10"/>
      <c r="C52" s="10"/>
      <c r="D52" s="10"/>
      <c r="E52" s="10"/>
      <c r="F52" s="10"/>
      <c r="G52" s="10" t="s">
        <v>99</v>
      </c>
      <c r="H52" s="11">
        <v>1</v>
      </c>
      <c r="I52" s="8">
        <v>3.1847133757961789E-3</v>
      </c>
      <c r="J52" s="8">
        <v>5.6417489421720732E-3</v>
      </c>
      <c r="K52" s="9">
        <v>3</v>
      </c>
      <c r="L52" s="11">
        <v>0</v>
      </c>
      <c r="M52" s="11">
        <v>0</v>
      </c>
      <c r="N52" s="11">
        <v>0</v>
      </c>
      <c r="O52" s="11">
        <v>0</v>
      </c>
      <c r="P52" s="11">
        <f t="shared" si="9"/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f t="shared" si="13"/>
        <v>6.4765507264455815</v>
      </c>
      <c r="W52" s="11">
        <f t="shared" si="13"/>
        <v>9.6733097388578244</v>
      </c>
      <c r="X52" s="11">
        <f t="shared" si="13"/>
        <v>10.213022299394956</v>
      </c>
      <c r="Y52" s="11">
        <f t="shared" si="13"/>
        <v>10.545153105879344</v>
      </c>
      <c r="Z52" s="11">
        <f t="shared" si="13"/>
        <v>11.064107491011201</v>
      </c>
      <c r="AA52" s="11">
        <f t="shared" si="13"/>
        <v>11.230172894253396</v>
      </c>
      <c r="AB52" s="11">
        <f t="shared" si="13"/>
        <v>11.10562384182175</v>
      </c>
      <c r="AC52" s="11">
        <f t="shared" si="13"/>
        <v>11.230172894253396</v>
      </c>
      <c r="AD52" s="11">
        <f t="shared" si="13"/>
        <v>11.230172894253396</v>
      </c>
      <c r="AE52" s="11">
        <f t="shared" si="13"/>
        <v>11.126382017227025</v>
      </c>
      <c r="AF52" s="11">
        <f t="shared" si="13"/>
        <v>11.084865666416476</v>
      </c>
      <c r="AG52" s="11">
        <f t="shared" si="13"/>
        <v>11.230172894253396</v>
      </c>
      <c r="AH52" s="11">
        <f t="shared" si="13"/>
        <v>11.354721946685043</v>
      </c>
      <c r="AI52" s="11">
        <f t="shared" si="13"/>
        <v>11.29244742046922</v>
      </c>
      <c r="AJ52" s="11">
        <f t="shared" si="10"/>
        <v>148.85687583122203</v>
      </c>
      <c r="AK52" s="11">
        <v>3311</v>
      </c>
      <c r="AL52" s="11">
        <f t="shared" si="11"/>
        <v>3162.1431241687778</v>
      </c>
    </row>
    <row r="53" spans="1:38" x14ac:dyDescent="0.3">
      <c r="A53" s="6"/>
      <c r="B53" s="6"/>
      <c r="C53" s="6"/>
      <c r="D53" s="6"/>
      <c r="E53" s="6"/>
      <c r="F53" s="6"/>
      <c r="G53" s="6" t="s">
        <v>100</v>
      </c>
      <c r="H53" s="7">
        <v>0</v>
      </c>
      <c r="I53" s="8">
        <v>0</v>
      </c>
      <c r="J53" s="8">
        <v>8.4626234132581107E-3</v>
      </c>
      <c r="K53" s="9">
        <v>6</v>
      </c>
      <c r="L53" s="7">
        <v>0</v>
      </c>
      <c r="M53" s="7">
        <v>0</v>
      </c>
      <c r="N53" s="7">
        <v>0</v>
      </c>
      <c r="O53" s="7">
        <v>0</v>
      </c>
      <c r="P53" s="7">
        <f t="shared" si="9"/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f t="shared" si="13"/>
        <v>9.7148260896683727</v>
      </c>
      <c r="W53" s="7">
        <f t="shared" si="13"/>
        <v>14.509964608286738</v>
      </c>
      <c r="X53" s="7">
        <f t="shared" si="13"/>
        <v>15.319533449092434</v>
      </c>
      <c r="Y53" s="7">
        <f t="shared" si="13"/>
        <v>15.817729658819019</v>
      </c>
      <c r="Z53" s="7">
        <f t="shared" si="13"/>
        <v>16.596161236516807</v>
      </c>
      <c r="AA53" s="7">
        <f t="shared" si="13"/>
        <v>16.845259341380096</v>
      </c>
      <c r="AB53" s="7">
        <f t="shared" si="13"/>
        <v>16.658435762732626</v>
      </c>
      <c r="AC53" s="7">
        <f t="shared" si="13"/>
        <v>16.845259341380096</v>
      </c>
      <c r="AD53" s="7">
        <f t="shared" si="13"/>
        <v>16.845259341380096</v>
      </c>
      <c r="AE53" s="7">
        <f t="shared" si="13"/>
        <v>16.689573025840538</v>
      </c>
      <c r="AF53" s="7">
        <f t="shared" si="13"/>
        <v>16.627298499624718</v>
      </c>
      <c r="AG53" s="7">
        <f t="shared" si="13"/>
        <v>16.845259341380096</v>
      </c>
      <c r="AH53" s="7">
        <f t="shared" si="13"/>
        <v>17.032082920027566</v>
      </c>
      <c r="AI53" s="7">
        <f t="shared" si="13"/>
        <v>16.938671130703831</v>
      </c>
      <c r="AJ53" s="7">
        <f t="shared" si="10"/>
        <v>223.285313746833</v>
      </c>
      <c r="AK53" s="7">
        <v>3129</v>
      </c>
      <c r="AL53" s="7">
        <f t="shared" si="11"/>
        <v>2905.7146862531672</v>
      </c>
    </row>
    <row r="54" spans="1:38" x14ac:dyDescent="0.3">
      <c r="A54" s="10"/>
      <c r="B54" s="10"/>
      <c r="C54" s="10"/>
      <c r="D54" s="10"/>
      <c r="E54" s="10"/>
      <c r="F54" s="10"/>
      <c r="G54" s="10" t="s">
        <v>101</v>
      </c>
      <c r="H54" s="11">
        <v>0</v>
      </c>
      <c r="I54" s="8">
        <v>0</v>
      </c>
      <c r="J54" s="8">
        <v>2.8208744710860371E-3</v>
      </c>
      <c r="K54" s="9">
        <v>3</v>
      </c>
      <c r="L54" s="11">
        <v>0</v>
      </c>
      <c r="M54" s="11">
        <v>23</v>
      </c>
      <c r="N54" s="11">
        <v>26</v>
      </c>
      <c r="O54" s="11">
        <v>42</v>
      </c>
      <c r="P54" s="11">
        <f t="shared" si="9"/>
        <v>91</v>
      </c>
      <c r="Q54" s="11">
        <v>70</v>
      </c>
      <c r="R54" s="11">
        <v>87</v>
      </c>
      <c r="S54" s="11">
        <v>12</v>
      </c>
      <c r="T54" s="11">
        <v>0</v>
      </c>
      <c r="U54" s="11">
        <v>0</v>
      </c>
      <c r="V54" s="11">
        <f t="shared" si="13"/>
        <v>3.2382753632227912</v>
      </c>
      <c r="W54" s="11">
        <f t="shared" si="13"/>
        <v>4.8366548694289131</v>
      </c>
      <c r="X54" s="11">
        <f t="shared" si="13"/>
        <v>5.1065111496974787</v>
      </c>
      <c r="Y54" s="11">
        <f t="shared" si="13"/>
        <v>5.2725765529396726</v>
      </c>
      <c r="Z54" s="11">
        <f t="shared" si="13"/>
        <v>5.5320537455056016</v>
      </c>
      <c r="AA54" s="11">
        <f t="shared" si="13"/>
        <v>5.615086447126699</v>
      </c>
      <c r="AB54" s="11">
        <f t="shared" si="13"/>
        <v>5.5528119209108757</v>
      </c>
      <c r="AC54" s="11">
        <f t="shared" si="13"/>
        <v>5.615086447126699</v>
      </c>
      <c r="AD54" s="11">
        <f t="shared" si="13"/>
        <v>5.615086447126699</v>
      </c>
      <c r="AE54" s="11">
        <f t="shared" si="13"/>
        <v>5.5631910086135132</v>
      </c>
      <c r="AF54" s="11">
        <f t="shared" si="13"/>
        <v>5.5424328332082391</v>
      </c>
      <c r="AG54" s="11">
        <f t="shared" si="13"/>
        <v>5.615086447126699</v>
      </c>
      <c r="AH54" s="11">
        <f t="shared" si="13"/>
        <v>5.6773609733425223</v>
      </c>
      <c r="AI54" s="11">
        <f t="shared" si="13"/>
        <v>5.6462237102346107</v>
      </c>
      <c r="AJ54" s="11">
        <f t="shared" si="10"/>
        <v>243.42843791561094</v>
      </c>
      <c r="AK54" s="11">
        <v>3114</v>
      </c>
      <c r="AL54" s="11">
        <f t="shared" si="11"/>
        <v>2870.5715620843889</v>
      </c>
    </row>
    <row r="55" spans="1:38" x14ac:dyDescent="0.3">
      <c r="A55" s="6"/>
      <c r="B55" s="6"/>
      <c r="C55" s="6"/>
      <c r="D55" s="6"/>
      <c r="E55" s="6"/>
      <c r="F55" s="6"/>
      <c r="G55" s="6" t="s">
        <v>102</v>
      </c>
      <c r="H55" s="7">
        <v>0</v>
      </c>
      <c r="I55" s="8">
        <v>0</v>
      </c>
      <c r="J55" s="8">
        <v>5.6417489421720732E-3</v>
      </c>
      <c r="K55" s="9">
        <v>4</v>
      </c>
      <c r="L55" s="7">
        <v>0</v>
      </c>
      <c r="M55" s="7">
        <v>0</v>
      </c>
      <c r="N55" s="7">
        <v>0</v>
      </c>
      <c r="O55" s="7">
        <v>0</v>
      </c>
      <c r="P55" s="7">
        <f t="shared" si="9"/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f t="shared" si="13"/>
        <v>6.4765507264455815</v>
      </c>
      <c r="W55" s="7">
        <f t="shared" si="13"/>
        <v>9.6733097388578244</v>
      </c>
      <c r="X55" s="7">
        <f t="shared" si="13"/>
        <v>10.213022299394956</v>
      </c>
      <c r="Y55" s="7">
        <f t="shared" si="13"/>
        <v>10.545153105879344</v>
      </c>
      <c r="Z55" s="7">
        <f t="shared" si="13"/>
        <v>11.064107491011201</v>
      </c>
      <c r="AA55" s="7">
        <f t="shared" si="13"/>
        <v>11.230172894253396</v>
      </c>
      <c r="AB55" s="7">
        <f t="shared" si="13"/>
        <v>11.10562384182175</v>
      </c>
      <c r="AC55" s="7">
        <f t="shared" si="13"/>
        <v>11.230172894253396</v>
      </c>
      <c r="AD55" s="7">
        <f t="shared" si="13"/>
        <v>11.230172894253396</v>
      </c>
      <c r="AE55" s="7">
        <f t="shared" si="13"/>
        <v>11.126382017227025</v>
      </c>
      <c r="AF55" s="7">
        <f t="shared" si="13"/>
        <v>11.084865666416476</v>
      </c>
      <c r="AG55" s="7">
        <f t="shared" si="13"/>
        <v>11.230172894253396</v>
      </c>
      <c r="AH55" s="7">
        <f t="shared" si="13"/>
        <v>11.354721946685043</v>
      </c>
      <c r="AI55" s="7">
        <f t="shared" si="13"/>
        <v>11.29244742046922</v>
      </c>
      <c r="AJ55" s="7">
        <f t="shared" si="10"/>
        <v>148.85687583122203</v>
      </c>
      <c r="AK55" s="7">
        <v>3077</v>
      </c>
      <c r="AL55" s="7">
        <f t="shared" si="11"/>
        <v>2928.1431241687778</v>
      </c>
    </row>
    <row r="56" spans="1:38" x14ac:dyDescent="0.3">
      <c r="A56" s="10"/>
      <c r="B56" s="10"/>
      <c r="C56" s="10"/>
      <c r="D56" s="10"/>
      <c r="E56" s="10"/>
      <c r="F56" s="10"/>
      <c r="G56" s="10" t="s">
        <v>103</v>
      </c>
      <c r="H56" s="11">
        <v>0</v>
      </c>
      <c r="I56" s="8">
        <v>0</v>
      </c>
      <c r="J56" s="8">
        <v>0</v>
      </c>
      <c r="K56" s="9">
        <v>0</v>
      </c>
      <c r="L56" s="11">
        <v>0</v>
      </c>
      <c r="M56" s="11">
        <v>0</v>
      </c>
      <c r="N56" s="11">
        <v>0</v>
      </c>
      <c r="O56" s="11">
        <v>0</v>
      </c>
      <c r="P56" s="11">
        <f t="shared" si="9"/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f t="shared" si="13"/>
        <v>0</v>
      </c>
      <c r="W56" s="11">
        <f t="shared" si="13"/>
        <v>0</v>
      </c>
      <c r="X56" s="11">
        <f t="shared" si="13"/>
        <v>0</v>
      </c>
      <c r="Y56" s="11">
        <f t="shared" si="13"/>
        <v>0</v>
      </c>
      <c r="Z56" s="11">
        <f t="shared" si="13"/>
        <v>0</v>
      </c>
      <c r="AA56" s="11">
        <f t="shared" si="13"/>
        <v>0</v>
      </c>
      <c r="AB56" s="11">
        <f t="shared" si="13"/>
        <v>0</v>
      </c>
      <c r="AC56" s="11">
        <f t="shared" si="13"/>
        <v>0</v>
      </c>
      <c r="AD56" s="11">
        <f t="shared" si="13"/>
        <v>0</v>
      </c>
      <c r="AE56" s="11">
        <f t="shared" si="13"/>
        <v>0</v>
      </c>
      <c r="AF56" s="11">
        <f t="shared" si="13"/>
        <v>0</v>
      </c>
      <c r="AG56" s="11">
        <f t="shared" si="13"/>
        <v>0</v>
      </c>
      <c r="AH56" s="11">
        <f t="shared" si="13"/>
        <v>0</v>
      </c>
      <c r="AI56" s="11">
        <f t="shared" si="13"/>
        <v>0</v>
      </c>
      <c r="AJ56" s="11">
        <f t="shared" si="10"/>
        <v>0</v>
      </c>
      <c r="AK56" s="11">
        <v>3071</v>
      </c>
      <c r="AL56" s="11">
        <f t="shared" si="11"/>
        <v>3071</v>
      </c>
    </row>
    <row r="57" spans="1:38" x14ac:dyDescent="0.3">
      <c r="A57" s="6"/>
      <c r="B57" s="6"/>
      <c r="C57" s="6"/>
      <c r="D57" s="6"/>
      <c r="E57" s="6"/>
      <c r="F57" s="6"/>
      <c r="G57" s="6" t="s">
        <v>104</v>
      </c>
      <c r="H57" s="7">
        <v>3</v>
      </c>
      <c r="I57" s="8">
        <v>9.5541401273885346E-3</v>
      </c>
      <c r="J57" s="8">
        <v>4.2313117066290554E-3</v>
      </c>
      <c r="K57" s="9">
        <v>3</v>
      </c>
      <c r="L57" s="7">
        <v>0</v>
      </c>
      <c r="M57" s="7">
        <v>0</v>
      </c>
      <c r="N57" s="7">
        <v>0</v>
      </c>
      <c r="O57" s="7">
        <v>0</v>
      </c>
      <c r="P57" s="7">
        <f t="shared" si="9"/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f t="shared" si="13"/>
        <v>4.8574130448341863</v>
      </c>
      <c r="W57" s="7">
        <f t="shared" si="13"/>
        <v>7.2549823041433692</v>
      </c>
      <c r="X57" s="7">
        <f t="shared" si="13"/>
        <v>7.6597667245462171</v>
      </c>
      <c r="Y57" s="7">
        <f t="shared" si="13"/>
        <v>7.9088648294095094</v>
      </c>
      <c r="Z57" s="7">
        <f t="shared" si="13"/>
        <v>8.2980806182584033</v>
      </c>
      <c r="AA57" s="7">
        <f t="shared" si="13"/>
        <v>8.4226296706900481</v>
      </c>
      <c r="AB57" s="7">
        <f t="shared" si="13"/>
        <v>8.3292178813663131</v>
      </c>
      <c r="AC57" s="7">
        <f t="shared" si="13"/>
        <v>8.4226296706900481</v>
      </c>
      <c r="AD57" s="7">
        <f t="shared" si="13"/>
        <v>8.4226296706900481</v>
      </c>
      <c r="AE57" s="7">
        <f t="shared" si="13"/>
        <v>8.344786512920269</v>
      </c>
      <c r="AF57" s="7">
        <f t="shared" si="13"/>
        <v>8.3136492498123591</v>
      </c>
      <c r="AG57" s="7">
        <f t="shared" si="13"/>
        <v>8.4226296706900481</v>
      </c>
      <c r="AH57" s="7">
        <f t="shared" si="13"/>
        <v>8.516041460013783</v>
      </c>
      <c r="AI57" s="7">
        <f t="shared" si="13"/>
        <v>8.4693355653519156</v>
      </c>
      <c r="AJ57" s="7">
        <f t="shared" si="10"/>
        <v>111.6426568734165</v>
      </c>
      <c r="AK57" s="7">
        <v>2859</v>
      </c>
      <c r="AL57" s="7">
        <f t="shared" si="11"/>
        <v>2747.3573431265836</v>
      </c>
    </row>
    <row r="58" spans="1:38" x14ac:dyDescent="0.3">
      <c r="A58" s="10"/>
      <c r="B58" s="10"/>
      <c r="C58" s="10"/>
      <c r="D58" s="10"/>
      <c r="E58" s="10"/>
      <c r="F58" s="10"/>
      <c r="G58" s="10" t="s">
        <v>105</v>
      </c>
      <c r="H58" s="11">
        <v>0</v>
      </c>
      <c r="I58" s="8">
        <v>0</v>
      </c>
      <c r="J58" s="8">
        <v>5.6417489421720732E-3</v>
      </c>
      <c r="K58" s="9">
        <v>4</v>
      </c>
      <c r="L58" s="11">
        <v>0</v>
      </c>
      <c r="M58" s="11">
        <v>20</v>
      </c>
      <c r="N58" s="11">
        <v>12</v>
      </c>
      <c r="O58" s="11">
        <v>31</v>
      </c>
      <c r="P58" s="11">
        <f t="shared" si="9"/>
        <v>63</v>
      </c>
      <c r="Q58" s="11">
        <v>92</v>
      </c>
      <c r="R58" s="11">
        <v>111</v>
      </c>
      <c r="S58" s="11">
        <v>74</v>
      </c>
      <c r="T58" s="11">
        <v>72</v>
      </c>
      <c r="U58" s="11">
        <v>82</v>
      </c>
      <c r="V58" s="11">
        <f>U58*(224/224)*(V$3/U$3)</f>
        <v>35.68200836820084</v>
      </c>
      <c r="W58" s="11">
        <f>U58*(230/224)*(W$3/U$3)</f>
        <v>54.721807132895002</v>
      </c>
      <c r="X58" s="11">
        <f>U58*(231/224)*(X$3/U$3)</f>
        <v>58.026150627615067</v>
      </c>
      <c r="Y58" s="11">
        <f>U58*(231/224)*(Y$3/U$3)</f>
        <v>59.913179916317986</v>
      </c>
      <c r="Z58" s="11">
        <f>U58*(217/224)*(Z$3/U$3)</f>
        <v>59.051865411436538</v>
      </c>
      <c r="AA58" s="11">
        <f>U58*(212/224)*(AA$3/U$3)</f>
        <v>58.557132894999008</v>
      </c>
      <c r="AB58" s="11">
        <f>U58*(152/224)*(AB$3/U$3)</f>
        <v>41.518728830444317</v>
      </c>
      <c r="AC58" s="11">
        <f>U58*(145/224)*(AC$3/U$3)</f>
        <v>40.050869197051206</v>
      </c>
      <c r="AD58" s="11">
        <f>U58*(118/224)*(AD$3/U$3)</f>
        <v>32.593121139669258</v>
      </c>
      <c r="AE58" s="11">
        <f>U58*(0/224)*(AE$3/U$3)</f>
        <v>0</v>
      </c>
      <c r="AF58" s="11">
        <f>U58*(0/224)*(AF$3/U$3)</f>
        <v>0</v>
      </c>
      <c r="AG58" s="11">
        <f>U58*(0/224)*(AG$3/U$3)</f>
        <v>0</v>
      </c>
      <c r="AH58" s="11">
        <f>U58*(0/224)*(AH$3/U$3)</f>
        <v>0</v>
      </c>
      <c r="AI58" s="11">
        <f>U58*(0/224)*(AI$3/U$3)</f>
        <v>0</v>
      </c>
      <c r="AJ58" s="11">
        <f t="shared" si="10"/>
        <v>871.11486351862914</v>
      </c>
      <c r="AK58" s="11">
        <v>2753</v>
      </c>
      <c r="AL58" s="11">
        <f t="shared" si="11"/>
        <v>1881.8851364813709</v>
      </c>
    </row>
    <row r="59" spans="1:38" x14ac:dyDescent="0.3">
      <c r="A59" s="6"/>
      <c r="B59" s="6"/>
      <c r="C59" s="6"/>
      <c r="D59" s="6"/>
      <c r="E59" s="6"/>
      <c r="F59" s="6"/>
      <c r="G59" s="6" t="s">
        <v>106</v>
      </c>
      <c r="H59" s="7">
        <v>0</v>
      </c>
      <c r="I59" s="8">
        <v>0</v>
      </c>
      <c r="J59" s="8">
        <v>2.8208744710860371E-3</v>
      </c>
      <c r="K59" s="9">
        <v>2</v>
      </c>
      <c r="L59" s="7">
        <v>0</v>
      </c>
      <c r="M59" s="7">
        <v>0</v>
      </c>
      <c r="N59" s="7">
        <v>0</v>
      </c>
      <c r="O59" s="7">
        <v>0</v>
      </c>
      <c r="P59" s="7">
        <f t="shared" si="9"/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f t="shared" ref="V59:AI60" si="14">3.67938659058487*V$3*$J59</f>
        <v>3.2382753632227912</v>
      </c>
      <c r="W59" s="7">
        <f t="shared" si="14"/>
        <v>4.8366548694289131</v>
      </c>
      <c r="X59" s="7">
        <f t="shared" si="14"/>
        <v>5.1065111496974787</v>
      </c>
      <c r="Y59" s="7">
        <f t="shared" si="14"/>
        <v>5.2725765529396726</v>
      </c>
      <c r="Z59" s="7">
        <f t="shared" si="14"/>
        <v>5.5320537455056016</v>
      </c>
      <c r="AA59" s="7">
        <f t="shared" si="14"/>
        <v>5.615086447126699</v>
      </c>
      <c r="AB59" s="7">
        <f t="shared" si="14"/>
        <v>5.5528119209108757</v>
      </c>
      <c r="AC59" s="7">
        <f t="shared" si="14"/>
        <v>5.615086447126699</v>
      </c>
      <c r="AD59" s="7">
        <f t="shared" si="14"/>
        <v>5.615086447126699</v>
      </c>
      <c r="AE59" s="7">
        <f t="shared" si="14"/>
        <v>5.5631910086135132</v>
      </c>
      <c r="AF59" s="7">
        <f t="shared" si="14"/>
        <v>5.5424328332082391</v>
      </c>
      <c r="AG59" s="7">
        <f t="shared" si="14"/>
        <v>5.615086447126699</v>
      </c>
      <c r="AH59" s="7">
        <f t="shared" si="14"/>
        <v>5.6773609733425223</v>
      </c>
      <c r="AI59" s="7">
        <f t="shared" si="14"/>
        <v>5.6462237102346107</v>
      </c>
      <c r="AJ59" s="7">
        <f t="shared" si="10"/>
        <v>74.428437915611013</v>
      </c>
      <c r="AK59" s="7">
        <v>2523</v>
      </c>
      <c r="AL59" s="7">
        <f t="shared" si="11"/>
        <v>2448.5715620843889</v>
      </c>
    </row>
    <row r="60" spans="1:38" x14ac:dyDescent="0.3">
      <c r="A60" s="10"/>
      <c r="B60" s="10"/>
      <c r="C60" s="10"/>
      <c r="D60" s="10"/>
      <c r="E60" s="10"/>
      <c r="F60" s="10"/>
      <c r="G60" s="10" t="s">
        <v>107</v>
      </c>
      <c r="H60" s="11">
        <v>0</v>
      </c>
      <c r="I60" s="8">
        <v>0</v>
      </c>
      <c r="J60" s="8">
        <v>4.2313117066290554E-3</v>
      </c>
      <c r="K60" s="9">
        <v>3</v>
      </c>
      <c r="L60" s="11">
        <v>0</v>
      </c>
      <c r="M60" s="11">
        <v>0</v>
      </c>
      <c r="N60" s="11">
        <v>0</v>
      </c>
      <c r="O60" s="11">
        <v>0</v>
      </c>
      <c r="P60" s="11">
        <f t="shared" si="9"/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f t="shared" si="14"/>
        <v>4.8574130448341863</v>
      </c>
      <c r="W60" s="11">
        <f t="shared" si="14"/>
        <v>7.2549823041433692</v>
      </c>
      <c r="X60" s="11">
        <f t="shared" si="14"/>
        <v>7.6597667245462171</v>
      </c>
      <c r="Y60" s="11">
        <f t="shared" si="14"/>
        <v>7.9088648294095094</v>
      </c>
      <c r="Z60" s="11">
        <f t="shared" si="14"/>
        <v>8.2980806182584033</v>
      </c>
      <c r="AA60" s="11">
        <f t="shared" si="14"/>
        <v>8.4226296706900481</v>
      </c>
      <c r="AB60" s="11">
        <f t="shared" si="14"/>
        <v>8.3292178813663131</v>
      </c>
      <c r="AC60" s="11">
        <f t="shared" si="14"/>
        <v>8.4226296706900481</v>
      </c>
      <c r="AD60" s="11">
        <f t="shared" si="14"/>
        <v>8.4226296706900481</v>
      </c>
      <c r="AE60" s="11">
        <f t="shared" si="14"/>
        <v>8.344786512920269</v>
      </c>
      <c r="AF60" s="11">
        <f t="shared" si="14"/>
        <v>8.3136492498123591</v>
      </c>
      <c r="AG60" s="11">
        <f t="shared" si="14"/>
        <v>8.4226296706900481</v>
      </c>
      <c r="AH60" s="11">
        <f t="shared" si="14"/>
        <v>8.516041460013783</v>
      </c>
      <c r="AI60" s="11">
        <f t="shared" si="14"/>
        <v>8.4693355653519156</v>
      </c>
      <c r="AJ60" s="11">
        <f t="shared" si="10"/>
        <v>111.6426568734165</v>
      </c>
      <c r="AK60" s="11">
        <v>2247</v>
      </c>
      <c r="AL60" s="11">
        <f t="shared" si="11"/>
        <v>2135.3573431265836</v>
      </c>
    </row>
    <row r="61" spans="1:38" x14ac:dyDescent="0.3">
      <c r="A61" s="6"/>
      <c r="B61" s="6"/>
      <c r="C61" s="6"/>
      <c r="D61" s="6"/>
      <c r="E61" s="6"/>
      <c r="F61" s="6"/>
      <c r="G61" s="6" t="s">
        <v>108</v>
      </c>
      <c r="H61" s="7">
        <v>0</v>
      </c>
      <c r="I61" s="8">
        <v>0</v>
      </c>
      <c r="J61" s="8">
        <v>2.8208744710860371E-3</v>
      </c>
      <c r="K61" s="9">
        <v>2</v>
      </c>
      <c r="L61" s="7">
        <v>0</v>
      </c>
      <c r="M61" s="7">
        <v>20</v>
      </c>
      <c r="N61" s="7">
        <v>20</v>
      </c>
      <c r="O61" s="7">
        <v>35</v>
      </c>
      <c r="P61" s="7">
        <f t="shared" si="9"/>
        <v>75</v>
      </c>
      <c r="Q61" s="7">
        <v>67</v>
      </c>
      <c r="R61" s="7">
        <v>58</v>
      </c>
      <c r="S61" s="7">
        <v>14</v>
      </c>
      <c r="T61" s="7">
        <v>10</v>
      </c>
      <c r="U61" s="7">
        <v>17</v>
      </c>
      <c r="V61" s="7">
        <f>U61*(126/110)*(V$3/U$3)</f>
        <v>8.4734880182578927</v>
      </c>
      <c r="W61" s="7">
        <f>U61*(112/110)*(W$3/U$3)</f>
        <v>11.24970204133384</v>
      </c>
      <c r="X61" s="7">
        <f>U61*(112/110)*(X$3/U$3)</f>
        <v>11.877367820464055</v>
      </c>
      <c r="Y61" s="7">
        <f>U61*(127/110)*(Y$3/U$3)</f>
        <v>13.906073285152784</v>
      </c>
      <c r="Z61" s="7">
        <f>U61*(112/110)*(Z$3/U$3)</f>
        <v>12.867148472169392</v>
      </c>
      <c r="AA61" s="7">
        <f>U61*(110/110)*(AA$3/U$3)</f>
        <v>12.827057182705719</v>
      </c>
      <c r="AB61" s="7">
        <f>U61*(85/110)*(AB$3/U$3)</f>
        <v>9.8018891847343728</v>
      </c>
      <c r="AC61" s="7">
        <f>U61*(77/110)*(AC$3/U$3)</f>
        <v>8.9789400278940015</v>
      </c>
      <c r="AD61" s="7">
        <f>U61*(68/110)*(AD$3/U$3)</f>
        <v>7.9294535311271703</v>
      </c>
      <c r="AE61" s="7">
        <f>U61*(60/110)*(AE$3/U$3)</f>
        <v>6.9319132750095083</v>
      </c>
      <c r="AF61" s="7">
        <f>U61*(59/110)*(AF$3/U$3)</f>
        <v>6.7909471281856222</v>
      </c>
      <c r="AG61" s="7">
        <f>U61*(50/110)*(AG$3/U$3)</f>
        <v>5.830480537593508</v>
      </c>
      <c r="AH61" s="7">
        <f>U61*(51/110)*(AH$3/U$3)</f>
        <v>6.0130467858501335</v>
      </c>
      <c r="AI61" s="7">
        <f>U61*(99/110)*(AI$3/U$3)</f>
        <v>11.60836820083682</v>
      </c>
      <c r="AJ61" s="7">
        <f t="shared" si="10"/>
        <v>301.08587549131482</v>
      </c>
      <c r="AK61" s="7">
        <v>2186</v>
      </c>
      <c r="AL61" s="7">
        <f t="shared" si="11"/>
        <v>1884.9141245086853</v>
      </c>
    </row>
    <row r="62" spans="1:38" x14ac:dyDescent="0.3">
      <c r="A62" s="10"/>
      <c r="B62" s="10"/>
      <c r="C62" s="10"/>
      <c r="D62" s="10"/>
      <c r="E62" s="10"/>
      <c r="F62" s="10"/>
      <c r="G62" s="10" t="s">
        <v>109</v>
      </c>
      <c r="H62" s="11">
        <v>0</v>
      </c>
      <c r="I62" s="8">
        <v>0</v>
      </c>
      <c r="J62" s="8">
        <v>4.2313117066290554E-3</v>
      </c>
      <c r="K62" s="9">
        <v>3</v>
      </c>
      <c r="L62" s="11">
        <v>0</v>
      </c>
      <c r="M62" s="11">
        <v>0</v>
      </c>
      <c r="N62" s="11">
        <v>0</v>
      </c>
      <c r="O62" s="11">
        <v>0</v>
      </c>
      <c r="P62" s="11">
        <f t="shared" si="9"/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f t="shared" ref="V62:AI65" si="15">3.67938659058487*V$3*$J62</f>
        <v>4.8574130448341863</v>
      </c>
      <c r="W62" s="11">
        <f t="shared" si="15"/>
        <v>7.2549823041433692</v>
      </c>
      <c r="X62" s="11">
        <f t="shared" si="15"/>
        <v>7.6597667245462171</v>
      </c>
      <c r="Y62" s="11">
        <f t="shared" si="15"/>
        <v>7.9088648294095094</v>
      </c>
      <c r="Z62" s="11">
        <f t="shared" si="15"/>
        <v>8.2980806182584033</v>
      </c>
      <c r="AA62" s="11">
        <f t="shared" si="15"/>
        <v>8.4226296706900481</v>
      </c>
      <c r="AB62" s="11">
        <f t="shared" si="15"/>
        <v>8.3292178813663131</v>
      </c>
      <c r="AC62" s="11">
        <f t="shared" si="15"/>
        <v>8.4226296706900481</v>
      </c>
      <c r="AD62" s="11">
        <f t="shared" si="15"/>
        <v>8.4226296706900481</v>
      </c>
      <c r="AE62" s="11">
        <f t="shared" si="15"/>
        <v>8.344786512920269</v>
      </c>
      <c r="AF62" s="11">
        <f t="shared" si="15"/>
        <v>8.3136492498123591</v>
      </c>
      <c r="AG62" s="11">
        <f t="shared" si="15"/>
        <v>8.4226296706900481</v>
      </c>
      <c r="AH62" s="11">
        <f t="shared" si="15"/>
        <v>8.516041460013783</v>
      </c>
      <c r="AI62" s="11">
        <f t="shared" si="15"/>
        <v>8.4693355653519156</v>
      </c>
      <c r="AJ62" s="11">
        <f t="shared" si="10"/>
        <v>111.6426568734165</v>
      </c>
      <c r="AK62" s="11">
        <v>2097</v>
      </c>
      <c r="AL62" s="11">
        <f t="shared" si="11"/>
        <v>1985.3573431265836</v>
      </c>
    </row>
    <row r="63" spans="1:38" x14ac:dyDescent="0.3">
      <c r="A63" s="6"/>
      <c r="B63" s="6"/>
      <c r="C63" s="6"/>
      <c r="D63" s="6"/>
      <c r="E63" s="6"/>
      <c r="F63" s="6"/>
      <c r="G63" s="6" t="s">
        <v>110</v>
      </c>
      <c r="H63" s="7">
        <v>0</v>
      </c>
      <c r="I63" s="8">
        <v>0</v>
      </c>
      <c r="J63" s="8">
        <v>5.6417489421720732E-3</v>
      </c>
      <c r="K63" s="9">
        <v>4</v>
      </c>
      <c r="L63" s="7">
        <v>0</v>
      </c>
      <c r="M63" s="7">
        <v>0</v>
      </c>
      <c r="N63" s="7">
        <v>0</v>
      </c>
      <c r="O63" s="7">
        <v>0</v>
      </c>
      <c r="P63" s="7">
        <f t="shared" si="9"/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f t="shared" si="15"/>
        <v>6.4765507264455815</v>
      </c>
      <c r="W63" s="7">
        <f t="shared" si="15"/>
        <v>9.6733097388578244</v>
      </c>
      <c r="X63" s="7">
        <f t="shared" si="15"/>
        <v>10.213022299394956</v>
      </c>
      <c r="Y63" s="7">
        <f t="shared" si="15"/>
        <v>10.545153105879344</v>
      </c>
      <c r="Z63" s="7">
        <f t="shared" si="15"/>
        <v>11.064107491011201</v>
      </c>
      <c r="AA63" s="7">
        <f t="shared" si="15"/>
        <v>11.230172894253396</v>
      </c>
      <c r="AB63" s="7">
        <f t="shared" si="15"/>
        <v>11.10562384182175</v>
      </c>
      <c r="AC63" s="7">
        <f t="shared" si="15"/>
        <v>11.230172894253396</v>
      </c>
      <c r="AD63" s="7">
        <f t="shared" si="15"/>
        <v>11.230172894253396</v>
      </c>
      <c r="AE63" s="7">
        <f t="shared" si="15"/>
        <v>11.126382017227025</v>
      </c>
      <c r="AF63" s="7">
        <f t="shared" si="15"/>
        <v>11.084865666416476</v>
      </c>
      <c r="AG63" s="7">
        <f t="shared" si="15"/>
        <v>11.230172894253396</v>
      </c>
      <c r="AH63" s="7">
        <f t="shared" si="15"/>
        <v>11.354721946685043</v>
      </c>
      <c r="AI63" s="7">
        <f t="shared" si="15"/>
        <v>11.29244742046922</v>
      </c>
      <c r="AJ63" s="7">
        <f t="shared" si="10"/>
        <v>148.85687583122203</v>
      </c>
      <c r="AK63" s="7">
        <v>2087</v>
      </c>
      <c r="AL63" s="7">
        <f t="shared" si="11"/>
        <v>1938.1431241687781</v>
      </c>
    </row>
    <row r="64" spans="1:38" x14ac:dyDescent="0.3">
      <c r="A64" s="10"/>
      <c r="B64" s="10"/>
      <c r="C64" s="10"/>
      <c r="D64" s="10"/>
      <c r="E64" s="10"/>
      <c r="F64" s="10"/>
      <c r="G64" s="10" t="s">
        <v>111</v>
      </c>
      <c r="H64" s="11">
        <v>0</v>
      </c>
      <c r="I64" s="8">
        <v>0</v>
      </c>
      <c r="J64" s="8">
        <v>2.8208744710860371E-3</v>
      </c>
      <c r="K64" s="9">
        <v>2</v>
      </c>
      <c r="L64" s="11">
        <v>0</v>
      </c>
      <c r="M64" s="11">
        <v>0</v>
      </c>
      <c r="N64" s="11">
        <v>0</v>
      </c>
      <c r="O64" s="11">
        <v>0</v>
      </c>
      <c r="P64" s="11">
        <f t="shared" si="9"/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f t="shared" si="15"/>
        <v>3.2382753632227912</v>
      </c>
      <c r="W64" s="11">
        <f t="shared" si="15"/>
        <v>4.8366548694289131</v>
      </c>
      <c r="X64" s="11">
        <f t="shared" si="15"/>
        <v>5.1065111496974787</v>
      </c>
      <c r="Y64" s="11">
        <f t="shared" si="15"/>
        <v>5.2725765529396726</v>
      </c>
      <c r="Z64" s="11">
        <f t="shared" si="15"/>
        <v>5.5320537455056016</v>
      </c>
      <c r="AA64" s="11">
        <f t="shared" si="15"/>
        <v>5.615086447126699</v>
      </c>
      <c r="AB64" s="11">
        <f t="shared" si="15"/>
        <v>5.5528119209108757</v>
      </c>
      <c r="AC64" s="11">
        <f t="shared" si="15"/>
        <v>5.615086447126699</v>
      </c>
      <c r="AD64" s="11">
        <f t="shared" si="15"/>
        <v>5.615086447126699</v>
      </c>
      <c r="AE64" s="11">
        <f t="shared" si="15"/>
        <v>5.5631910086135132</v>
      </c>
      <c r="AF64" s="11">
        <f t="shared" si="15"/>
        <v>5.5424328332082391</v>
      </c>
      <c r="AG64" s="11">
        <f t="shared" si="15"/>
        <v>5.615086447126699</v>
      </c>
      <c r="AH64" s="11">
        <f t="shared" si="15"/>
        <v>5.6773609733425223</v>
      </c>
      <c r="AI64" s="11">
        <f t="shared" si="15"/>
        <v>5.6462237102346107</v>
      </c>
      <c r="AJ64" s="11">
        <f t="shared" si="10"/>
        <v>74.428437915611013</v>
      </c>
      <c r="AK64" s="11">
        <v>1837</v>
      </c>
      <c r="AL64" s="11">
        <f t="shared" si="11"/>
        <v>1762.5715620843889</v>
      </c>
    </row>
    <row r="65" spans="1:38" x14ac:dyDescent="0.3">
      <c r="A65" s="6"/>
      <c r="B65" s="6"/>
      <c r="C65" s="6"/>
      <c r="D65" s="6"/>
      <c r="E65" s="6"/>
      <c r="F65" s="6"/>
      <c r="G65" s="6" t="s">
        <v>112</v>
      </c>
      <c r="H65" s="7">
        <v>0</v>
      </c>
      <c r="I65" s="8">
        <v>0</v>
      </c>
      <c r="J65" s="8">
        <v>4.2313117066290554E-3</v>
      </c>
      <c r="K65" s="9">
        <v>3</v>
      </c>
      <c r="L65" s="7">
        <v>0</v>
      </c>
      <c r="M65" s="7">
        <v>0</v>
      </c>
      <c r="N65" s="7">
        <v>0</v>
      </c>
      <c r="O65" s="7">
        <v>0</v>
      </c>
      <c r="P65" s="7">
        <f t="shared" si="9"/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f t="shared" si="15"/>
        <v>4.8574130448341863</v>
      </c>
      <c r="W65" s="7">
        <f t="shared" si="15"/>
        <v>7.2549823041433692</v>
      </c>
      <c r="X65" s="7">
        <f t="shared" si="15"/>
        <v>7.6597667245462171</v>
      </c>
      <c r="Y65" s="7">
        <f t="shared" si="15"/>
        <v>7.9088648294095094</v>
      </c>
      <c r="Z65" s="7">
        <f t="shared" si="15"/>
        <v>8.2980806182584033</v>
      </c>
      <c r="AA65" s="7">
        <f t="shared" si="15"/>
        <v>8.4226296706900481</v>
      </c>
      <c r="AB65" s="7">
        <f t="shared" si="15"/>
        <v>8.3292178813663131</v>
      </c>
      <c r="AC65" s="7">
        <f t="shared" si="15"/>
        <v>8.4226296706900481</v>
      </c>
      <c r="AD65" s="7">
        <f t="shared" si="15"/>
        <v>8.4226296706900481</v>
      </c>
      <c r="AE65" s="7">
        <f t="shared" si="15"/>
        <v>8.344786512920269</v>
      </c>
      <c r="AF65" s="7">
        <f t="shared" si="15"/>
        <v>8.3136492498123591</v>
      </c>
      <c r="AG65" s="7">
        <f t="shared" si="15"/>
        <v>8.4226296706900481</v>
      </c>
      <c r="AH65" s="7">
        <f t="shared" si="15"/>
        <v>8.516041460013783</v>
      </c>
      <c r="AI65" s="7">
        <f t="shared" si="15"/>
        <v>8.4693355653519156</v>
      </c>
      <c r="AJ65" s="7">
        <f t="shared" si="10"/>
        <v>111.6426568734165</v>
      </c>
      <c r="AK65" s="7">
        <v>1711</v>
      </c>
      <c r="AL65" s="7">
        <f t="shared" si="11"/>
        <v>1599.3573431265836</v>
      </c>
    </row>
    <row r="66" spans="1:38" x14ac:dyDescent="0.3">
      <c r="A66" s="10"/>
      <c r="B66" s="10"/>
      <c r="C66" s="10"/>
      <c r="D66" s="10"/>
      <c r="E66" s="10"/>
      <c r="F66" s="10"/>
      <c r="G66" s="10" t="s">
        <v>113</v>
      </c>
      <c r="H66" s="11">
        <v>0</v>
      </c>
      <c r="I66" s="8">
        <v>0</v>
      </c>
      <c r="J66" s="8">
        <v>2.8208744710860371E-3</v>
      </c>
      <c r="K66" s="9">
        <v>2</v>
      </c>
      <c r="L66" s="11">
        <v>0</v>
      </c>
      <c r="M66" s="11">
        <v>1</v>
      </c>
      <c r="N66" s="11">
        <v>41</v>
      </c>
      <c r="O66" s="11">
        <v>18</v>
      </c>
      <c r="P66" s="11">
        <f t="shared" si="9"/>
        <v>60</v>
      </c>
      <c r="Q66" s="11">
        <v>149</v>
      </c>
      <c r="R66" s="11">
        <v>60</v>
      </c>
      <c r="S66" s="11">
        <v>38</v>
      </c>
      <c r="T66" s="11">
        <v>11</v>
      </c>
      <c r="U66" s="11">
        <v>17</v>
      </c>
      <c r="V66" s="11">
        <f>U66*(127/126)*(V$3/U$3)</f>
        <v>7.456199774191405</v>
      </c>
      <c r="W66" s="11">
        <f>U66*(119/126)*(W$3/U$3)</f>
        <v>10.434991476832479</v>
      </c>
      <c r="X66" s="11">
        <f>U66*(120/126)*(X$3/U$3)</f>
        <v>11.109782825263997</v>
      </c>
      <c r="Y66" s="11">
        <f>U66*(130/126)*(Y$3/U$3)</f>
        <v>12.426999623652344</v>
      </c>
      <c r="Z66" s="11">
        <f>U66*(112/126)*(Z$3/U$3)</f>
        <v>11.233224856655818</v>
      </c>
      <c r="AA66" s="11">
        <f>U66*(126/126)*(AA$3/U$3)</f>
        <v>12.827057182705719</v>
      </c>
      <c r="AB66" s="11">
        <f>U66*(83/126)*(AB$3/U$3)</f>
        <v>8.3558588474906461</v>
      </c>
      <c r="AC66" s="11">
        <f>U66*(74/126)*(AC$3/U$3)</f>
        <v>7.5333510438112947</v>
      </c>
      <c r="AD66" s="11">
        <f>U66*(70/126)*(AD$3/U$3)</f>
        <v>7.1261428792809554</v>
      </c>
      <c r="AE66" s="11">
        <f>U66*(67/126)*(AE$3/U$3)</f>
        <v>6.7576985233888998</v>
      </c>
      <c r="AF66" s="11">
        <f>U66*(4/126)*(AF$3/U$3)</f>
        <v>0.40193929733678685</v>
      </c>
      <c r="AG66" s="11">
        <f>U66*(0/126)*(AG$3/U$3)</f>
        <v>0</v>
      </c>
      <c r="AH66" s="11">
        <f>U66*(0/126)*(AH$3/U$3)</f>
        <v>0</v>
      </c>
      <c r="AI66" s="11">
        <f>U66*(0/126)*(AI$3/U$3)</f>
        <v>0</v>
      </c>
      <c r="AJ66" s="11">
        <f t="shared" si="10"/>
        <v>370.66324633061043</v>
      </c>
      <c r="AK66" s="11">
        <v>1589</v>
      </c>
      <c r="AL66" s="11">
        <f t="shared" si="11"/>
        <v>1218.3367536693895</v>
      </c>
    </row>
    <row r="67" spans="1:38" x14ac:dyDescent="0.3">
      <c r="A67" s="6"/>
      <c r="B67" s="6"/>
      <c r="C67" s="6"/>
      <c r="D67" s="6"/>
      <c r="E67" s="6"/>
      <c r="F67" s="6"/>
      <c r="G67" s="6" t="s">
        <v>114</v>
      </c>
      <c r="H67" s="7">
        <v>0</v>
      </c>
      <c r="I67" s="8">
        <v>0</v>
      </c>
      <c r="J67" s="8">
        <v>0</v>
      </c>
      <c r="K67" s="9">
        <v>0</v>
      </c>
      <c r="L67" s="7">
        <v>0</v>
      </c>
      <c r="M67" s="7">
        <v>0</v>
      </c>
      <c r="N67" s="7">
        <v>0</v>
      </c>
      <c r="O67" s="7">
        <v>0</v>
      </c>
      <c r="P67" s="7">
        <f t="shared" si="9"/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f t="shared" ref="V67:AI71" si="16">3.67938659058487*V$3*$J67</f>
        <v>0</v>
      </c>
      <c r="W67" s="7">
        <f t="shared" si="16"/>
        <v>0</v>
      </c>
      <c r="X67" s="7">
        <f t="shared" si="16"/>
        <v>0</v>
      </c>
      <c r="Y67" s="7">
        <f t="shared" si="16"/>
        <v>0</v>
      </c>
      <c r="Z67" s="7">
        <f t="shared" si="16"/>
        <v>0</v>
      </c>
      <c r="AA67" s="7">
        <f t="shared" si="16"/>
        <v>0</v>
      </c>
      <c r="AB67" s="7">
        <f t="shared" si="16"/>
        <v>0</v>
      </c>
      <c r="AC67" s="7">
        <f t="shared" si="16"/>
        <v>0</v>
      </c>
      <c r="AD67" s="7">
        <f t="shared" si="16"/>
        <v>0</v>
      </c>
      <c r="AE67" s="7">
        <f t="shared" si="16"/>
        <v>0</v>
      </c>
      <c r="AF67" s="7">
        <f t="shared" si="16"/>
        <v>0</v>
      </c>
      <c r="AG67" s="7">
        <f t="shared" si="16"/>
        <v>0</v>
      </c>
      <c r="AH67" s="7">
        <f t="shared" si="16"/>
        <v>0</v>
      </c>
      <c r="AI67" s="7">
        <f t="shared" si="16"/>
        <v>0</v>
      </c>
      <c r="AJ67" s="7">
        <f t="shared" si="10"/>
        <v>0</v>
      </c>
      <c r="AK67" s="7">
        <v>1166</v>
      </c>
      <c r="AL67" s="7">
        <f t="shared" si="11"/>
        <v>1166</v>
      </c>
    </row>
    <row r="68" spans="1:38" x14ac:dyDescent="0.3">
      <c r="A68" s="10"/>
      <c r="B68" s="10"/>
      <c r="C68" s="10"/>
      <c r="D68" s="10"/>
      <c r="E68" s="10"/>
      <c r="F68" s="10"/>
      <c r="G68" s="10" t="s">
        <v>115</v>
      </c>
      <c r="H68" s="11">
        <v>0</v>
      </c>
      <c r="I68" s="8">
        <v>0</v>
      </c>
      <c r="J68" s="8">
        <v>0</v>
      </c>
      <c r="K68" s="9">
        <v>0</v>
      </c>
      <c r="L68" s="11">
        <v>0</v>
      </c>
      <c r="M68" s="11">
        <v>0</v>
      </c>
      <c r="N68" s="11">
        <v>0</v>
      </c>
      <c r="O68" s="11">
        <v>0</v>
      </c>
      <c r="P68" s="11">
        <f t="shared" si="9"/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f t="shared" si="16"/>
        <v>0</v>
      </c>
      <c r="W68" s="11">
        <f t="shared" si="16"/>
        <v>0</v>
      </c>
      <c r="X68" s="11">
        <f t="shared" si="16"/>
        <v>0</v>
      </c>
      <c r="Y68" s="11">
        <f t="shared" si="16"/>
        <v>0</v>
      </c>
      <c r="Z68" s="11">
        <f t="shared" si="16"/>
        <v>0</v>
      </c>
      <c r="AA68" s="11">
        <f t="shared" si="16"/>
        <v>0</v>
      </c>
      <c r="AB68" s="11">
        <f t="shared" si="16"/>
        <v>0</v>
      </c>
      <c r="AC68" s="11">
        <f t="shared" si="16"/>
        <v>0</v>
      </c>
      <c r="AD68" s="11">
        <f t="shared" si="16"/>
        <v>0</v>
      </c>
      <c r="AE68" s="11">
        <f t="shared" si="16"/>
        <v>0</v>
      </c>
      <c r="AF68" s="11">
        <f t="shared" si="16"/>
        <v>0</v>
      </c>
      <c r="AG68" s="11">
        <f t="shared" si="16"/>
        <v>0</v>
      </c>
      <c r="AH68" s="11">
        <f t="shared" si="16"/>
        <v>0</v>
      </c>
      <c r="AI68" s="11">
        <f t="shared" si="16"/>
        <v>0</v>
      </c>
      <c r="AJ68" s="11">
        <f t="shared" si="10"/>
        <v>0</v>
      </c>
      <c r="AK68" s="11">
        <v>989</v>
      </c>
      <c r="AL68" s="11">
        <f t="shared" si="11"/>
        <v>989</v>
      </c>
    </row>
    <row r="69" spans="1:38" x14ac:dyDescent="0.3">
      <c r="A69" s="6"/>
      <c r="B69" s="6"/>
      <c r="C69" s="6"/>
      <c r="D69" s="6"/>
      <c r="E69" s="6"/>
      <c r="F69" s="6"/>
      <c r="G69" s="6" t="s">
        <v>116</v>
      </c>
      <c r="H69" s="7">
        <v>0</v>
      </c>
      <c r="I69" s="8">
        <v>0</v>
      </c>
      <c r="J69" s="8">
        <v>0</v>
      </c>
      <c r="K69" s="9">
        <v>0</v>
      </c>
      <c r="L69" s="7">
        <v>0</v>
      </c>
      <c r="M69" s="7">
        <v>0</v>
      </c>
      <c r="N69" s="7">
        <v>0</v>
      </c>
      <c r="O69" s="7">
        <v>0</v>
      </c>
      <c r="P69" s="7">
        <f t="shared" ref="P69:P71" si="17">SUM(L69:O69)</f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f t="shared" si="16"/>
        <v>0</v>
      </c>
      <c r="W69" s="7">
        <f t="shared" si="16"/>
        <v>0</v>
      </c>
      <c r="X69" s="7">
        <f t="shared" si="16"/>
        <v>0</v>
      </c>
      <c r="Y69" s="7">
        <f t="shared" si="16"/>
        <v>0</v>
      </c>
      <c r="Z69" s="7">
        <f t="shared" si="16"/>
        <v>0</v>
      </c>
      <c r="AA69" s="7">
        <f t="shared" si="16"/>
        <v>0</v>
      </c>
      <c r="AB69" s="7">
        <f t="shared" si="16"/>
        <v>0</v>
      </c>
      <c r="AC69" s="7">
        <f t="shared" si="16"/>
        <v>0</v>
      </c>
      <c r="AD69" s="7">
        <f t="shared" si="16"/>
        <v>0</v>
      </c>
      <c r="AE69" s="7">
        <f t="shared" si="16"/>
        <v>0</v>
      </c>
      <c r="AF69" s="7">
        <f t="shared" si="16"/>
        <v>0</v>
      </c>
      <c r="AG69" s="7">
        <f t="shared" si="16"/>
        <v>0</v>
      </c>
      <c r="AH69" s="7">
        <f t="shared" si="16"/>
        <v>0</v>
      </c>
      <c r="AI69" s="7">
        <f t="shared" si="16"/>
        <v>0</v>
      </c>
      <c r="AJ69" s="7">
        <f t="shared" ref="AJ69:AJ71" si="18">SUM(Q69:AI69)</f>
        <v>0</v>
      </c>
      <c r="AK69" s="7">
        <v>966</v>
      </c>
      <c r="AL69" s="7">
        <f t="shared" ref="AL69:AL72" si="19">AK69-AJ69</f>
        <v>966</v>
      </c>
    </row>
    <row r="70" spans="1:38" x14ac:dyDescent="0.3">
      <c r="A70" s="10"/>
      <c r="B70" s="10"/>
      <c r="C70" s="10"/>
      <c r="D70" s="10"/>
      <c r="E70" s="10"/>
      <c r="F70" s="10"/>
      <c r="G70" s="10" t="s">
        <v>117</v>
      </c>
      <c r="H70" s="11">
        <v>0</v>
      </c>
      <c r="I70" s="8">
        <v>0</v>
      </c>
      <c r="J70" s="8">
        <v>0</v>
      </c>
      <c r="K70" s="9">
        <v>0</v>
      </c>
      <c r="L70" s="11">
        <v>0</v>
      </c>
      <c r="M70" s="11">
        <v>0</v>
      </c>
      <c r="N70" s="11">
        <v>0</v>
      </c>
      <c r="O70" s="11">
        <v>0</v>
      </c>
      <c r="P70" s="11">
        <f t="shared" si="17"/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f t="shared" si="16"/>
        <v>0</v>
      </c>
      <c r="W70" s="11">
        <f t="shared" si="16"/>
        <v>0</v>
      </c>
      <c r="X70" s="11">
        <f t="shared" si="16"/>
        <v>0</v>
      </c>
      <c r="Y70" s="11">
        <f t="shared" si="16"/>
        <v>0</v>
      </c>
      <c r="Z70" s="11">
        <f t="shared" si="16"/>
        <v>0</v>
      </c>
      <c r="AA70" s="11">
        <f t="shared" si="16"/>
        <v>0</v>
      </c>
      <c r="AB70" s="11">
        <f t="shared" si="16"/>
        <v>0</v>
      </c>
      <c r="AC70" s="11">
        <f t="shared" si="16"/>
        <v>0</v>
      </c>
      <c r="AD70" s="11">
        <f t="shared" si="16"/>
        <v>0</v>
      </c>
      <c r="AE70" s="11">
        <f t="shared" si="16"/>
        <v>0</v>
      </c>
      <c r="AF70" s="11">
        <f t="shared" si="16"/>
        <v>0</v>
      </c>
      <c r="AG70" s="11">
        <f t="shared" si="16"/>
        <v>0</v>
      </c>
      <c r="AH70" s="11">
        <f t="shared" si="16"/>
        <v>0</v>
      </c>
      <c r="AI70" s="11">
        <f t="shared" si="16"/>
        <v>0</v>
      </c>
      <c r="AJ70" s="11">
        <f t="shared" si="18"/>
        <v>0</v>
      </c>
      <c r="AK70" s="11">
        <v>855</v>
      </c>
      <c r="AL70" s="11">
        <f t="shared" si="19"/>
        <v>855</v>
      </c>
    </row>
    <row r="71" spans="1:38" x14ac:dyDescent="0.3">
      <c r="A71" s="6"/>
      <c r="B71" s="6"/>
      <c r="C71" s="6"/>
      <c r="D71" s="6"/>
      <c r="E71" s="6"/>
      <c r="F71" s="6"/>
      <c r="G71" s="6" t="s">
        <v>118</v>
      </c>
      <c r="H71" s="7">
        <v>0</v>
      </c>
      <c r="I71" s="8">
        <v>0</v>
      </c>
      <c r="J71" s="8">
        <v>0</v>
      </c>
      <c r="K71" s="9">
        <v>1</v>
      </c>
      <c r="L71" s="7">
        <v>0</v>
      </c>
      <c r="M71" s="7">
        <v>0</v>
      </c>
      <c r="N71" s="7">
        <v>0</v>
      </c>
      <c r="O71" s="7">
        <v>0</v>
      </c>
      <c r="P71" s="7">
        <f t="shared" si="17"/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f t="shared" si="16"/>
        <v>0</v>
      </c>
      <c r="W71" s="7">
        <f t="shared" si="16"/>
        <v>0</v>
      </c>
      <c r="X71" s="7">
        <f t="shared" si="16"/>
        <v>0</v>
      </c>
      <c r="Y71" s="7">
        <f t="shared" si="16"/>
        <v>0</v>
      </c>
      <c r="Z71" s="7">
        <f t="shared" si="16"/>
        <v>0</v>
      </c>
      <c r="AA71" s="7">
        <f t="shared" si="16"/>
        <v>0</v>
      </c>
      <c r="AB71" s="7">
        <f t="shared" si="16"/>
        <v>0</v>
      </c>
      <c r="AC71" s="7">
        <f t="shared" si="16"/>
        <v>0</v>
      </c>
      <c r="AD71" s="7">
        <f t="shared" si="16"/>
        <v>0</v>
      </c>
      <c r="AE71" s="7">
        <f t="shared" si="16"/>
        <v>0</v>
      </c>
      <c r="AF71" s="7">
        <f t="shared" si="16"/>
        <v>0</v>
      </c>
      <c r="AG71" s="7">
        <f t="shared" si="16"/>
        <v>0</v>
      </c>
      <c r="AH71" s="7">
        <f t="shared" si="16"/>
        <v>0</v>
      </c>
      <c r="AI71" s="7">
        <f t="shared" si="16"/>
        <v>0</v>
      </c>
      <c r="AJ71" s="7">
        <f t="shared" si="18"/>
        <v>0</v>
      </c>
      <c r="AK71" s="7">
        <v>673</v>
      </c>
      <c r="AL71" s="7">
        <f t="shared" si="19"/>
        <v>673</v>
      </c>
    </row>
    <row r="72" spans="1:38" x14ac:dyDescent="0.3">
      <c r="A72" s="12"/>
      <c r="B72" s="12"/>
      <c r="C72" s="12"/>
      <c r="D72" s="12"/>
      <c r="E72" s="12"/>
      <c r="F72" s="12"/>
      <c r="G72" s="12" t="s">
        <v>119</v>
      </c>
      <c r="H72" s="13">
        <f t="shared" ref="H72:AK72" si="20">SUM(H5:H71)</f>
        <v>313</v>
      </c>
      <c r="I72" s="14">
        <f t="shared" si="20"/>
        <v>0.99999999999999989</v>
      </c>
      <c r="J72" s="14">
        <f t="shared" si="20"/>
        <v>0.99999999999999933</v>
      </c>
      <c r="K72" s="13">
        <f t="shared" si="20"/>
        <v>695</v>
      </c>
      <c r="L72" s="13">
        <f t="shared" si="20"/>
        <v>0</v>
      </c>
      <c r="M72" s="13">
        <f t="shared" si="20"/>
        <v>1166</v>
      </c>
      <c r="N72" s="13">
        <f t="shared" si="20"/>
        <v>2165</v>
      </c>
      <c r="O72" s="13">
        <f t="shared" si="20"/>
        <v>1853</v>
      </c>
      <c r="P72" s="13">
        <f t="shared" si="20"/>
        <v>5184</v>
      </c>
      <c r="Q72" s="13">
        <f t="shared" si="20"/>
        <v>5325</v>
      </c>
      <c r="R72" s="13">
        <f t="shared" si="20"/>
        <v>4160</v>
      </c>
      <c r="S72" s="13">
        <f t="shared" si="20"/>
        <v>4017</v>
      </c>
      <c r="T72" s="13">
        <f t="shared" si="20"/>
        <v>2717</v>
      </c>
      <c r="U72" s="13">
        <f t="shared" si="20"/>
        <v>3308</v>
      </c>
      <c r="V72" s="13">
        <f t="shared" si="20"/>
        <v>2183.0719850690748</v>
      </c>
      <c r="W72" s="13">
        <f t="shared" si="20"/>
        <v>3273.3784944467748</v>
      </c>
      <c r="X72" s="13">
        <f t="shared" si="20"/>
        <v>3519.4013891748</v>
      </c>
      <c r="Y72" s="13">
        <f t="shared" si="20"/>
        <v>3705.7405870431735</v>
      </c>
      <c r="Z72" s="13">
        <f t="shared" si="20"/>
        <v>3541.869460483771</v>
      </c>
      <c r="AA72" s="13">
        <f t="shared" si="20"/>
        <v>3698.0246476547495</v>
      </c>
      <c r="AB72" s="13">
        <f t="shared" si="20"/>
        <v>3064.109030924481</v>
      </c>
      <c r="AC72" s="13">
        <f t="shared" si="20"/>
        <v>2880.5094408271161</v>
      </c>
      <c r="AD72" s="13">
        <f t="shared" si="20"/>
        <v>2780.9230411772023</v>
      </c>
      <c r="AE72" s="13">
        <f t="shared" si="20"/>
        <v>2591.6883462829892</v>
      </c>
      <c r="AF72" s="13">
        <f t="shared" si="20"/>
        <v>2529.3769753896649</v>
      </c>
      <c r="AG72" s="13">
        <f t="shared" si="20"/>
        <v>2443.4368874133415</v>
      </c>
      <c r="AH72" s="13">
        <f t="shared" si="20"/>
        <v>2441.5719323318667</v>
      </c>
      <c r="AI72" s="13">
        <f t="shared" si="20"/>
        <v>3363.3256542245767</v>
      </c>
      <c r="AJ72" s="13">
        <f t="shared" si="20"/>
        <v>61543.427872443594</v>
      </c>
      <c r="AK72" s="13">
        <f t="shared" si="20"/>
        <v>2818396</v>
      </c>
      <c r="AL72" s="13">
        <f t="shared" si="19"/>
        <v>2756852.5721275564</v>
      </c>
    </row>
    <row r="73" spans="1:38" s="23" customFormat="1" x14ac:dyDescent="0.3">
      <c r="J73" s="29" t="s">
        <v>188</v>
      </c>
      <c r="K73" s="23">
        <f>'[1]Simulacion total'!$H$62</f>
        <v>695</v>
      </c>
      <c r="Q73" s="23">
        <f>'[1]Simulacion total'!$I$62</f>
        <v>17648</v>
      </c>
      <c r="R73" s="23">
        <f>'[1]Simulacion total'!$J$62</f>
        <v>26368</v>
      </c>
      <c r="S73" s="23">
        <f>'[1]Simulacion total'!$K$62</f>
        <v>27847</v>
      </c>
      <c r="T73" s="23">
        <f>'[1]Simulacion total'!$L$62</f>
        <v>28745</v>
      </c>
      <c r="U73" s="23">
        <f>'[1]Simulacion total'!$M$62</f>
        <v>30181</v>
      </c>
      <c r="V73" s="23">
        <f>'[1]Simulacion total'!$N$62</f>
        <v>30595</v>
      </c>
      <c r="W73" s="23">
        <f>'[1]Simulacion total'!$O$62</f>
        <v>30289</v>
      </c>
      <c r="X73" s="23">
        <f>'[1]Simulacion total'!$P$62</f>
        <v>29635</v>
      </c>
      <c r="Y73" s="23">
        <f>'[1]Simulacion total'!$Q$62</f>
        <v>29913</v>
      </c>
      <c r="Z73" s="23">
        <f>'[1]Simulacion total'!$R$62</f>
        <v>27435</v>
      </c>
      <c r="AA73" s="23">
        <f>'[1]Simulacion total'!$S$62</f>
        <v>28177</v>
      </c>
      <c r="AB73" s="23">
        <f>'[1]Simulacion total'!$T$62</f>
        <v>19500</v>
      </c>
      <c r="AC73" s="23">
        <f>'[1]Simulacion total'!$U$62</f>
        <v>18000</v>
      </c>
      <c r="AD73" s="23">
        <f>'[1]Simulacion total'!$V$62</f>
        <v>16500</v>
      </c>
      <c r="AE73" s="23">
        <f>'[1]Simulacion total'!$W$62</f>
        <v>15000</v>
      </c>
      <c r="AF73" s="23">
        <f>'[1]Simulacion total'!$X$62</f>
        <v>14000</v>
      </c>
      <c r="AG73" s="23">
        <f>'[1]Simulacion total'!$Y$62</f>
        <v>12500</v>
      </c>
      <c r="AH73" s="23">
        <f>'[1]Simulacion total'!$Z$62</f>
        <v>12000</v>
      </c>
      <c r="AI73" s="23">
        <f>'[1]Simulacion total'!$AA$62</f>
        <v>22568</v>
      </c>
      <c r="AJ73" s="23">
        <f>'[1]Simulacion total'!$AB$62</f>
        <v>436901</v>
      </c>
      <c r="AK73" s="23">
        <f>'[1]Simulacion total'!$AC$62</f>
        <v>2802306</v>
      </c>
    </row>
    <row r="74" spans="1:38" x14ac:dyDescent="0.3">
      <c r="J74" s="28" t="s">
        <v>189</v>
      </c>
      <c r="AJ74" s="23"/>
    </row>
  </sheetData>
  <autoFilter ref="G4:AL71" xr:uid="{00000000-0009-0000-0000-000002000000}"/>
  <mergeCells count="1">
    <mergeCell ref="A1:A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72"/>
  <sheetViews>
    <sheetView showGridLines="0" topLeftCell="T1" workbookViewId="0">
      <pane ySplit="4" topLeftCell="A65" activePane="bottomLeft" state="frozen"/>
      <selection pane="bottomLeft" activeCell="C13" sqref="C13"/>
    </sheetView>
  </sheetViews>
  <sheetFormatPr baseColWidth="10" defaultColWidth="8.88671875" defaultRowHeight="14.4" x14ac:dyDescent="0.3"/>
  <cols>
    <col min="1" max="1" width="16" customWidth="1"/>
    <col min="2" max="2" width="15" customWidth="1"/>
    <col min="3" max="3" width="16" customWidth="1"/>
    <col min="4" max="4" width="15" customWidth="1"/>
    <col min="5" max="5" width="13" customWidth="1"/>
    <col min="6" max="6" width="3" customWidth="1"/>
    <col min="7" max="7" width="40" customWidth="1"/>
    <col min="8" max="8" width="20" customWidth="1"/>
    <col min="9" max="9" width="16" customWidth="1"/>
    <col min="10" max="10" width="18" customWidth="1"/>
    <col min="11" max="11" width="15" customWidth="1"/>
    <col min="12" max="15" width="13" customWidth="1"/>
    <col min="16" max="16" width="16" customWidth="1"/>
    <col min="17" max="35" width="10" customWidth="1"/>
    <col min="36" max="36" width="14" customWidth="1"/>
    <col min="37" max="37" width="13" customWidth="1"/>
    <col min="38" max="38" width="14" customWidth="1"/>
  </cols>
  <sheetData>
    <row r="1" spans="1:38" ht="30" customHeight="1" x14ac:dyDescent="0.3">
      <c r="A1" s="32" t="s">
        <v>120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</row>
    <row r="2" spans="1:38" ht="18" customHeight="1" x14ac:dyDescent="0.3">
      <c r="A2" s="30" t="s">
        <v>121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1:38" x14ac:dyDescent="0.3">
      <c r="G3" s="2" t="s">
        <v>14</v>
      </c>
      <c r="L3">
        <v>663</v>
      </c>
      <c r="M3" s="23">
        <v>698</v>
      </c>
      <c r="N3" s="23"/>
      <c r="O3" s="23">
        <v>704</v>
      </c>
      <c r="Q3" s="3">
        <v>702</v>
      </c>
      <c r="R3" s="3">
        <v>712</v>
      </c>
      <c r="S3" s="3">
        <v>707</v>
      </c>
      <c r="T3" s="3">
        <v>710</v>
      </c>
      <c r="U3" s="3">
        <v>717</v>
      </c>
      <c r="V3" s="4">
        <v>312</v>
      </c>
      <c r="W3" s="4">
        <v>466</v>
      </c>
      <c r="X3" s="4">
        <v>492</v>
      </c>
      <c r="Y3" s="4">
        <v>508</v>
      </c>
      <c r="Z3" s="4">
        <v>533</v>
      </c>
      <c r="AA3" s="4">
        <v>541</v>
      </c>
      <c r="AB3" s="4">
        <v>535</v>
      </c>
      <c r="AC3" s="4">
        <v>541</v>
      </c>
      <c r="AD3" s="4">
        <v>541</v>
      </c>
      <c r="AE3" s="4">
        <v>536</v>
      </c>
      <c r="AF3" s="4">
        <v>534</v>
      </c>
      <c r="AG3" s="4">
        <v>541</v>
      </c>
      <c r="AH3" s="4">
        <v>547</v>
      </c>
      <c r="AI3" s="4">
        <v>544</v>
      </c>
    </row>
    <row r="4" spans="1:38" ht="69" x14ac:dyDescent="0.3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  <c r="F4" s="5"/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  <c r="N4" s="5" t="s">
        <v>27</v>
      </c>
      <c r="O4" s="5" t="s">
        <v>28</v>
      </c>
      <c r="P4" s="5" t="s">
        <v>29</v>
      </c>
      <c r="Q4" s="5" t="s">
        <v>30</v>
      </c>
      <c r="R4" s="5" t="s">
        <v>31</v>
      </c>
      <c r="S4" s="5" t="s">
        <v>32</v>
      </c>
      <c r="T4" s="5" t="s">
        <v>33</v>
      </c>
      <c r="U4" s="5" t="s">
        <v>34</v>
      </c>
      <c r="V4" s="5" t="s">
        <v>35</v>
      </c>
      <c r="W4" s="5" t="s">
        <v>36</v>
      </c>
      <c r="X4" s="5" t="s">
        <v>37</v>
      </c>
      <c r="Y4" s="5" t="s">
        <v>38</v>
      </c>
      <c r="Z4" s="5" t="s">
        <v>39</v>
      </c>
      <c r="AA4" s="5" t="s">
        <v>40</v>
      </c>
      <c r="AB4" s="5" t="s">
        <v>41</v>
      </c>
      <c r="AC4" s="5" t="s">
        <v>42</v>
      </c>
      <c r="AD4" s="5" t="s">
        <v>43</v>
      </c>
      <c r="AE4" s="5" t="s">
        <v>44</v>
      </c>
      <c r="AF4" s="5" t="s">
        <v>45</v>
      </c>
      <c r="AG4" s="5" t="s">
        <v>46</v>
      </c>
      <c r="AH4" s="5" t="s">
        <v>47</v>
      </c>
      <c r="AI4" s="5" t="s">
        <v>48</v>
      </c>
      <c r="AJ4" s="5" t="s">
        <v>49</v>
      </c>
      <c r="AK4" s="5" t="s">
        <v>50</v>
      </c>
      <c r="AL4" s="5" t="s">
        <v>51</v>
      </c>
    </row>
    <row r="5" spans="1:38" x14ac:dyDescent="0.3">
      <c r="A5" s="25">
        <f>AJ72/19</f>
        <v>2452.6029757786346</v>
      </c>
      <c r="B5" s="24">
        <f>AVERAGE(L3:AI3)</f>
        <v>581.09090909090912</v>
      </c>
      <c r="C5" s="24">
        <f>A5/B5</f>
        <v>4.2206872236490893</v>
      </c>
      <c r="D5" s="24">
        <f>C5/2</f>
        <v>2.1103436118245447</v>
      </c>
      <c r="E5" s="24">
        <f>D5/5</f>
        <v>0.42206872236490894</v>
      </c>
      <c r="F5" s="6"/>
      <c r="G5" s="6" t="s">
        <v>52</v>
      </c>
      <c r="H5" s="7">
        <v>55</v>
      </c>
      <c r="I5" s="8">
        <v>0.1751592356687898</v>
      </c>
      <c r="J5" s="8">
        <v>0.15232722143864599</v>
      </c>
      <c r="K5" s="9">
        <v>111</v>
      </c>
      <c r="L5" s="7">
        <v>0</v>
      </c>
      <c r="M5" s="7">
        <v>111</v>
      </c>
      <c r="N5" s="7">
        <v>224</v>
      </c>
      <c r="O5" s="7">
        <v>113</v>
      </c>
      <c r="P5" s="7">
        <f t="shared" ref="P5:P36" si="0">SUM(L5:O5)</f>
        <v>448</v>
      </c>
      <c r="Q5" s="7">
        <v>62</v>
      </c>
      <c r="R5" s="7">
        <v>99</v>
      </c>
      <c r="S5" s="7">
        <v>47</v>
      </c>
      <c r="T5" s="7">
        <v>68</v>
      </c>
      <c r="U5" s="7">
        <v>79</v>
      </c>
      <c r="V5" s="7">
        <f>U5*(1458/1482)*(V$3/U$3)*0.817081588514104</f>
        <v>27.633587764290255</v>
      </c>
      <c r="W5" s="7">
        <f>U5*(1456/1482)*(W$3/U$3)*0.817081588514104</f>
        <v>41.216627017427889</v>
      </c>
      <c r="X5" s="7">
        <f>U5*(1471/1482)*(X$3/U$3)*0.817081588514104</f>
        <v>43.964580343254966</v>
      </c>
      <c r="Y5" s="7">
        <f>U5*(1357/1482)*(Y$3/U$3)*0.817081588514104</f>
        <v>41.876339925697458</v>
      </c>
      <c r="Z5" s="7">
        <f>U5*(1449/1482)*(Z$3/U$3)*0.817081588514104</f>
        <v>46.915975522654307</v>
      </c>
      <c r="AA5" s="7">
        <f>U5*(1410/1482)*(AA$3/U$3)*0.817081588514104</f>
        <v>46.338453366216122</v>
      </c>
      <c r="AB5" s="7">
        <f>U5*(961/1482)*(AB$3/U$3)*0.817081588514104</f>
        <v>31.232181960697314</v>
      </c>
      <c r="AC5" s="7">
        <f>U5*(904/1482)*(AC$3/U$3)*0.817081588514104</f>
        <v>29.709192796496005</v>
      </c>
      <c r="AD5" s="7">
        <f>U5*(771/1482)*(AD$3/U$3)*0.817081588514104</f>
        <v>25.338260670462855</v>
      </c>
      <c r="AE5" s="7">
        <f>U5*(777/1482)*(AE$3/U$3)*0.817081588514104</f>
        <v>25.299443308733181</v>
      </c>
      <c r="AF5" s="7">
        <f>U5*(774/1482)*(AF$3/U$3)*0.817081588514104</f>
        <v>25.107725634838268</v>
      </c>
      <c r="AG5" s="7">
        <f>U5*(656/1482)*(AG$3/U$3)*0.817081588514104</f>
        <v>21.558883268253741</v>
      </c>
      <c r="AH5" s="7">
        <f>U5*(649/1482)*(AH$3/U$3)*0.817081588514104</f>
        <v>21.565383202064503</v>
      </c>
      <c r="AI5" s="7">
        <f>U5*(1161/1482)*(AI$3/U$3)*0.817081588514104</f>
        <v>38.366861644247244</v>
      </c>
      <c r="AJ5" s="7">
        <f t="shared" ref="AJ5:AJ36" si="1">SUM(Q5:AI5)</f>
        <v>821.12349642533411</v>
      </c>
      <c r="AK5" s="7">
        <v>1134103</v>
      </c>
      <c r="AL5" s="7">
        <f t="shared" ref="AL5:AL36" si="2">AK5-AJ5</f>
        <v>1133281.8765035747</v>
      </c>
    </row>
    <row r="6" spans="1:38" x14ac:dyDescent="0.3">
      <c r="A6" s="10"/>
      <c r="B6" s="10"/>
      <c r="C6" s="10"/>
      <c r="D6" s="10"/>
      <c r="E6" s="10"/>
      <c r="F6" s="10"/>
      <c r="G6" s="10" t="s">
        <v>53</v>
      </c>
      <c r="H6" s="11">
        <v>139</v>
      </c>
      <c r="I6" s="8">
        <v>0.44585987261146498</v>
      </c>
      <c r="J6" s="8">
        <v>0.29619181946403378</v>
      </c>
      <c r="K6" s="9">
        <v>189</v>
      </c>
      <c r="L6" s="11">
        <v>0</v>
      </c>
      <c r="M6" s="11">
        <v>94</v>
      </c>
      <c r="N6" s="11">
        <v>20</v>
      </c>
      <c r="O6" s="11">
        <v>36</v>
      </c>
      <c r="P6" s="11">
        <f t="shared" si="0"/>
        <v>150</v>
      </c>
      <c r="Q6" s="11">
        <v>96</v>
      </c>
      <c r="R6" s="11">
        <v>76</v>
      </c>
      <c r="S6" s="11">
        <v>0</v>
      </c>
      <c r="T6" s="11">
        <v>0</v>
      </c>
      <c r="U6" s="11">
        <v>0</v>
      </c>
      <c r="V6" s="11">
        <f t="shared" ref="V6:AI6" si="3">3.67938659058487*V$3*$J6*0.192689998847282</f>
        <v>65.518243980691025</v>
      </c>
      <c r="W6" s="11">
        <f t="shared" si="3"/>
        <v>97.857377227570566</v>
      </c>
      <c r="X6" s="11">
        <f t="shared" si="3"/>
        <v>103.31723089262813</v>
      </c>
      <c r="Y6" s="11">
        <f t="shared" si="3"/>
        <v>106.67714084035589</v>
      </c>
      <c r="Z6" s="11">
        <f t="shared" si="3"/>
        <v>111.92700013368049</v>
      </c>
      <c r="AA6" s="11">
        <f t="shared" si="3"/>
        <v>113.60695510754435</v>
      </c>
      <c r="AB6" s="11">
        <f t="shared" si="3"/>
        <v>112.34698887714646</v>
      </c>
      <c r="AC6" s="11">
        <f t="shared" si="3"/>
        <v>113.60695510754435</v>
      </c>
      <c r="AD6" s="11">
        <f t="shared" si="3"/>
        <v>113.60695510754435</v>
      </c>
      <c r="AE6" s="11">
        <f t="shared" si="3"/>
        <v>112.55698324887943</v>
      </c>
      <c r="AF6" s="11">
        <f t="shared" si="3"/>
        <v>112.13699450541348</v>
      </c>
      <c r="AG6" s="11">
        <f t="shared" si="3"/>
        <v>113.60695510754435</v>
      </c>
      <c r="AH6" s="11">
        <f t="shared" si="3"/>
        <v>114.86692133794227</v>
      </c>
      <c r="AI6" s="11">
        <f t="shared" si="3"/>
        <v>114.23693822274332</v>
      </c>
      <c r="AJ6" s="11">
        <f t="shared" si="1"/>
        <v>1677.8696396972284</v>
      </c>
      <c r="AK6" s="11">
        <v>739683</v>
      </c>
      <c r="AL6" s="11">
        <f t="shared" si="2"/>
        <v>738005.13036030275</v>
      </c>
    </row>
    <row r="7" spans="1:38" x14ac:dyDescent="0.3">
      <c r="A7" s="6"/>
      <c r="B7" s="6"/>
      <c r="C7" s="6"/>
      <c r="D7" s="6"/>
      <c r="E7" s="6"/>
      <c r="F7" s="6"/>
      <c r="G7" s="6" t="s">
        <v>54</v>
      </c>
      <c r="H7" s="7">
        <v>12</v>
      </c>
      <c r="I7" s="8">
        <v>3.8216560509554139E-2</v>
      </c>
      <c r="J7" s="8">
        <v>3.3850493653032443E-2</v>
      </c>
      <c r="K7" s="9">
        <v>24</v>
      </c>
      <c r="L7" s="7">
        <v>0</v>
      </c>
      <c r="M7" s="7">
        <v>533</v>
      </c>
      <c r="N7" s="7">
        <v>1119</v>
      </c>
      <c r="O7" s="7">
        <v>569</v>
      </c>
      <c r="P7" s="7">
        <f t="shared" si="0"/>
        <v>2221</v>
      </c>
      <c r="Q7" s="7">
        <v>1585</v>
      </c>
      <c r="R7" s="7">
        <v>1306</v>
      </c>
      <c r="S7" s="7">
        <v>1601</v>
      </c>
      <c r="T7" s="7">
        <v>1134</v>
      </c>
      <c r="U7" s="7">
        <v>1275</v>
      </c>
      <c r="V7" s="7">
        <f>U7*(1069/1118)*(V$3/U$3)*1.35015677761698</f>
        <v>716.25179876325899</v>
      </c>
      <c r="W7" s="7">
        <f>U7*(1131/1118)*(W$3/U$3)*1.35015677761698</f>
        <v>1131.8319467360479</v>
      </c>
      <c r="X7" s="7">
        <f>U7*(1117/1118)*(X$3/U$3)*1.35015677761698</f>
        <v>1180.18938000867</v>
      </c>
      <c r="Y7" s="7">
        <f>U7*(1183/1118)*(Y$3/U$3)*1.35015677761698</f>
        <v>1290.5709445442758</v>
      </c>
      <c r="Z7" s="7">
        <f>U7*(1042/1118)*(Z$3/U$3)*1.35015677761698</f>
        <v>1192.6921323185202</v>
      </c>
      <c r="AA7" s="7">
        <f>U7*(1006/1118)*(AA$3/U$3)*1.35015677761698</f>
        <v>1168.7689683316203</v>
      </c>
      <c r="AB7" s="7">
        <f>U7*(740/1118)*(AB$3/U$3)*1.35015677761698</f>
        <v>850.19574707483105</v>
      </c>
      <c r="AC7" s="7">
        <f>U7*(644/1118)*(AC$3/U$3)*1.35015677761698</f>
        <v>748.19802744091817</v>
      </c>
      <c r="AD7" s="7">
        <f>U7*(618/1118)*(AD$3/U$3)*1.35015677761698</f>
        <v>717.9912747802598</v>
      </c>
      <c r="AE7" s="7">
        <f>U7*(604/1118)*(AE$3/U$3)*1.35015677761698</f>
        <v>695.24064647889395</v>
      </c>
      <c r="AF7" s="7">
        <f>U7*(593/1118)*(AF$3/U$3)*1.35015677761698</f>
        <v>680.0320425870425</v>
      </c>
      <c r="AG7" s="7">
        <f>U7*(511/1118)*(AG$3/U$3)*1.35015677761698</f>
        <v>593.6788695998589</v>
      </c>
      <c r="AH7" s="7">
        <f>U7*(496/1118)*(AH$3/U$3)*1.35015677761698</f>
        <v>582.6428606475539</v>
      </c>
      <c r="AI7" s="7">
        <f>U7*(985/1118)*(AI$3/U$3)*1.35015677761698</f>
        <v>1150.7170727774121</v>
      </c>
      <c r="AJ7" s="7">
        <f t="shared" si="1"/>
        <v>19600.001712089161</v>
      </c>
      <c r="AK7" s="7">
        <v>134650</v>
      </c>
      <c r="AL7" s="7">
        <f t="shared" si="2"/>
        <v>115049.99828791084</v>
      </c>
    </row>
    <row r="8" spans="1:38" x14ac:dyDescent="0.3">
      <c r="A8" s="10"/>
      <c r="B8" s="10"/>
      <c r="C8" s="10"/>
      <c r="D8" s="10"/>
      <c r="E8" s="10"/>
      <c r="F8" s="10"/>
      <c r="G8" s="10" t="s">
        <v>55</v>
      </c>
      <c r="H8" s="11">
        <v>13</v>
      </c>
      <c r="I8" s="8">
        <v>4.1401273885350323E-2</v>
      </c>
      <c r="J8" s="8">
        <v>4.0902679830747531E-2</v>
      </c>
      <c r="K8" s="9">
        <v>29</v>
      </c>
      <c r="L8" s="11">
        <v>0</v>
      </c>
      <c r="M8" s="11">
        <v>0</v>
      </c>
      <c r="N8" s="11">
        <v>121</v>
      </c>
      <c r="O8" s="11">
        <v>533</v>
      </c>
      <c r="P8" s="11">
        <f t="shared" si="0"/>
        <v>654</v>
      </c>
      <c r="Q8" s="11">
        <v>2229</v>
      </c>
      <c r="R8" s="11">
        <v>1634</v>
      </c>
      <c r="S8" s="11">
        <v>1769</v>
      </c>
      <c r="T8" s="11">
        <v>1100</v>
      </c>
      <c r="U8" s="11">
        <v>1269</v>
      </c>
      <c r="V8" s="11">
        <f>U8*(1234/1286)*(V$3/U$3)*0.637527898820278</f>
        <v>337.80840124672523</v>
      </c>
      <c r="W8" s="11">
        <f>U8*(1174/1286)*(W$3/U$3)*0.637527898820278</f>
        <v>480.01488641187569</v>
      </c>
      <c r="X8" s="11">
        <f>U8*(1294/1286)*(X$3/U$3)*0.637527898820278</f>
        <v>558.59889414486224</v>
      </c>
      <c r="Y8" s="11">
        <f>U8*(1306/1286)*(Y$3/U$3)*0.637527898820278</f>
        <v>582.11337995661745</v>
      </c>
      <c r="Z8" s="11">
        <f>U8*(1088/1286)*(Z$3/U$3)*0.637527898820278</f>
        <v>508.81135746940572</v>
      </c>
      <c r="AA8" s="11">
        <f>U8*(1228/1286)*(AA$3/U$3)*0.637527898820278</f>
        <v>582.90304552492262</v>
      </c>
      <c r="AB8" s="11">
        <f>U8*(940/1286)*(AB$3/U$3)*0.637527898820278</f>
        <v>441.24757144521186</v>
      </c>
      <c r="AC8" s="11">
        <f>U8*(806/1286)*(AC$3/U$3)*0.637527898820278</f>
        <v>382.58945821912681</v>
      </c>
      <c r="AD8" s="11">
        <f>U8*(742/1286)*(AD$3/U$3)*0.637527898820278</f>
        <v>352.21014640023827</v>
      </c>
      <c r="AE8" s="11">
        <f>U8*(634/1286)*(AE$3/U$3)*0.637527898820278</f>
        <v>298.16368009305563</v>
      </c>
      <c r="AF8" s="11">
        <f>U8*(596/1286)*(AF$3/U$3)*0.637527898820278</f>
        <v>279.2468027012107</v>
      </c>
      <c r="AG8" s="11">
        <f>U8*(549/1286)*(AG$3/U$3)*0.637527898820278</f>
        <v>260.59753419640271</v>
      </c>
      <c r="AH8" s="11">
        <f>U8*(538/1286)*(AH$3/U$3)*0.637527898820278</f>
        <v>258.20835714918593</v>
      </c>
      <c r="AI8" s="11">
        <f>U8*(961/1286)*(AI$3/U$3)*0.637527898820278</f>
        <v>458.69391606763497</v>
      </c>
      <c r="AJ8" s="11">
        <f t="shared" si="1"/>
        <v>13782.207431026478</v>
      </c>
      <c r="AK8" s="11">
        <v>114818</v>
      </c>
      <c r="AL8" s="11">
        <f t="shared" si="2"/>
        <v>101035.79256897353</v>
      </c>
    </row>
    <row r="9" spans="1:38" x14ac:dyDescent="0.3">
      <c r="A9" s="6"/>
      <c r="B9" s="6"/>
      <c r="C9" s="6"/>
      <c r="D9" s="6"/>
      <c r="E9" s="6"/>
      <c r="F9" s="6"/>
      <c r="G9" s="6" t="s">
        <v>56</v>
      </c>
      <c r="H9" s="7">
        <v>0</v>
      </c>
      <c r="I9" s="8">
        <v>0</v>
      </c>
      <c r="J9" s="8">
        <v>4.0902679830747531E-2</v>
      </c>
      <c r="K9" s="9">
        <v>32</v>
      </c>
      <c r="L9" s="7">
        <v>0</v>
      </c>
      <c r="M9" s="7">
        <v>0</v>
      </c>
      <c r="N9" s="7">
        <v>1</v>
      </c>
      <c r="O9" s="7">
        <v>1</v>
      </c>
      <c r="P9" s="7">
        <f t="shared" si="0"/>
        <v>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f t="shared" ref="V9:AI9" si="4">3.67938659058487*V$3*$J9*0.169887174166774</f>
        <v>7.9770510341611534</v>
      </c>
      <c r="W9" s="7">
        <f t="shared" si="4"/>
        <v>11.914441608715055</v>
      </c>
      <c r="X9" s="7">
        <f t="shared" si="4"/>
        <v>12.579195861561818</v>
      </c>
      <c r="Y9" s="7">
        <f t="shared" si="4"/>
        <v>12.988275401775212</v>
      </c>
      <c r="Z9" s="7">
        <f t="shared" si="4"/>
        <v>13.627462183358636</v>
      </c>
      <c r="AA9" s="7">
        <f t="shared" si="4"/>
        <v>13.832001953465333</v>
      </c>
      <c r="AB9" s="7">
        <f t="shared" si="4"/>
        <v>13.678597125885311</v>
      </c>
      <c r="AC9" s="7">
        <f t="shared" si="4"/>
        <v>13.832001953465333</v>
      </c>
      <c r="AD9" s="7">
        <f t="shared" si="4"/>
        <v>13.832001953465333</v>
      </c>
      <c r="AE9" s="7">
        <f t="shared" si="4"/>
        <v>13.704164597148647</v>
      </c>
      <c r="AF9" s="7">
        <f t="shared" si="4"/>
        <v>13.653029654621973</v>
      </c>
      <c r="AG9" s="7">
        <f t="shared" si="4"/>
        <v>13.832001953465333</v>
      </c>
      <c r="AH9" s="7">
        <f t="shared" si="4"/>
        <v>13.985406781045356</v>
      </c>
      <c r="AI9" s="7">
        <f t="shared" si="4"/>
        <v>13.908704367255345</v>
      </c>
      <c r="AJ9" s="7">
        <f t="shared" si="1"/>
        <v>183.34433642938984</v>
      </c>
      <c r="AK9" s="7">
        <v>88585</v>
      </c>
      <c r="AL9" s="7">
        <f t="shared" si="2"/>
        <v>88401.655663570607</v>
      </c>
    </row>
    <row r="10" spans="1:38" x14ac:dyDescent="0.3">
      <c r="A10" s="10"/>
      <c r="B10" s="10"/>
      <c r="C10" s="10"/>
      <c r="D10" s="10"/>
      <c r="E10" s="10"/>
      <c r="F10" s="10"/>
      <c r="G10" s="10" t="s">
        <v>57</v>
      </c>
      <c r="H10" s="11">
        <v>10</v>
      </c>
      <c r="I10" s="8">
        <v>3.1847133757961783E-2</v>
      </c>
      <c r="J10" s="8">
        <v>2.5387870239774329E-2</v>
      </c>
      <c r="K10" s="9">
        <v>18</v>
      </c>
      <c r="L10" s="11">
        <v>0</v>
      </c>
      <c r="M10" s="11">
        <v>0</v>
      </c>
      <c r="N10" s="11">
        <v>2</v>
      </c>
      <c r="O10" s="11">
        <v>35</v>
      </c>
      <c r="P10" s="11">
        <f t="shared" si="0"/>
        <v>37</v>
      </c>
      <c r="Q10" s="11">
        <v>46</v>
      </c>
      <c r="R10" s="11">
        <v>24</v>
      </c>
      <c r="S10" s="11">
        <v>11</v>
      </c>
      <c r="T10" s="11">
        <v>26</v>
      </c>
      <c r="U10" s="11">
        <v>18</v>
      </c>
      <c r="V10" s="11">
        <f>U10*(988/878)*(V$3/U$3)*0.0661791590493601</f>
        <v>0.58329951635762767</v>
      </c>
      <c r="W10" s="11">
        <f>U10*(920/878)*(W$3/U$3)*0.0661791590493601</f>
        <v>0.81124834116073041</v>
      </c>
      <c r="X10" s="11">
        <f>U10*(910/878)*(X$3/U$3)*0.0661791590493601</f>
        <v>0.84720122062064329</v>
      </c>
      <c r="Y10" s="11">
        <f>U10*(890/878)*(Y$3/U$3)*0.0661791590493601</f>
        <v>0.85552715060083351</v>
      </c>
      <c r="Z10" s="11">
        <f>U10*(905/878)*(Z$3/U$3)*0.0661791590493601</f>
        <v>0.91275845793057409</v>
      </c>
      <c r="AA10" s="11">
        <f>U10*(843/878)*(AA$3/U$3)*0.0661791590493601</f>
        <v>0.86298831921717245</v>
      </c>
      <c r="AB10" s="11">
        <f>U10*(604/878)*(AB$3/U$3)*0.0661791590493601</f>
        <v>0.61146386677243514</v>
      </c>
      <c r="AC10" s="11">
        <f>U10*(561/878)*(AC$3/U$3)*0.0661791590493601</f>
        <v>0.57430183520858102</v>
      </c>
      <c r="AD10" s="11">
        <f>U10*(487/878)*(AD$3/U$3)*0.0661791590493601</f>
        <v>0.49854722592973066</v>
      </c>
      <c r="AE10" s="11">
        <f>U10*(512/878)*(AE$3/U$3)*0.0661791590493601</f>
        <v>0.51929582189172774</v>
      </c>
      <c r="AF10" s="11">
        <f>U10*(476/878)*(AF$3/U$3)*0.0661791590493601</f>
        <v>0.48098140592834265</v>
      </c>
      <c r="AG10" s="11">
        <f>U10*(432/878)*(AG$3/U$3)*0.0661791590493601</f>
        <v>0.44224312443869335</v>
      </c>
      <c r="AH10" s="11">
        <f>U10*(435/878)*(AH$3/U$3)*0.0661791590493601</f>
        <v>0.45025304753099926</v>
      </c>
      <c r="AI10" s="11">
        <f>U10*(751/878)*(AI$3/U$3)*0.0661791590493601</f>
        <v>0.77307016768793002</v>
      </c>
      <c r="AJ10" s="11">
        <f t="shared" si="1"/>
        <v>134.22317950127604</v>
      </c>
      <c r="AK10" s="11">
        <v>48852</v>
      </c>
      <c r="AL10" s="11">
        <f t="shared" si="2"/>
        <v>48717.776820498722</v>
      </c>
    </row>
    <row r="11" spans="1:38" x14ac:dyDescent="0.3">
      <c r="A11" s="6"/>
      <c r="B11" s="6"/>
      <c r="C11" s="6"/>
      <c r="D11" s="6"/>
      <c r="E11" s="6"/>
      <c r="F11" s="6"/>
      <c r="G11" s="6" t="s">
        <v>58</v>
      </c>
      <c r="H11" s="7">
        <v>6</v>
      </c>
      <c r="I11" s="8">
        <v>1.9108280254777069E-2</v>
      </c>
      <c r="J11" s="8">
        <v>1.6925246826516221E-2</v>
      </c>
      <c r="K11" s="9">
        <v>12</v>
      </c>
      <c r="L11" s="7">
        <v>0</v>
      </c>
      <c r="M11" s="7">
        <v>85</v>
      </c>
      <c r="N11" s="7">
        <v>205</v>
      </c>
      <c r="O11" s="7">
        <v>200</v>
      </c>
      <c r="P11" s="7">
        <f t="shared" si="0"/>
        <v>490</v>
      </c>
      <c r="Q11" s="7">
        <v>462</v>
      </c>
      <c r="R11" s="7">
        <v>432</v>
      </c>
      <c r="S11" s="7">
        <v>270</v>
      </c>
      <c r="T11" s="7">
        <v>129</v>
      </c>
      <c r="U11" s="7">
        <v>227</v>
      </c>
      <c r="V11" s="7">
        <f>U11*(558/599)*(V$3/U$3)*0.50022346368715</f>
        <v>46.029126271437335</v>
      </c>
      <c r="W11" s="7">
        <f>U11*(627/599)*(W$3/U$3)*0.50022346368715</f>
        <v>77.249805694795413</v>
      </c>
      <c r="X11" s="7">
        <f>U11*(563/599)*(X$3/U$3)*0.50022346368715</f>
        <v>73.234789200688454</v>
      </c>
      <c r="Y11" s="7">
        <f>U11*(618/599)*(Y$3/U$3)*0.50022346368715</f>
        <v>83.003446478725081</v>
      </c>
      <c r="Z11" s="7">
        <f>U11*(545/599)*(Z$3/U$3)*0.50022346368715</f>
        <v>76.801136987400483</v>
      </c>
      <c r="AA11" s="7">
        <f>U11*(597/599)*(AA$3/U$3)*0.50022346368715</f>
        <v>85.391675373185009</v>
      </c>
      <c r="AB11" s="7">
        <f>U11*(434/599)*(AB$3/U$3)*0.50022346368715</f>
        <v>61.388560500901995</v>
      </c>
      <c r="AC11" s="7">
        <f>U11*(379/599)*(AC$3/U$3)*0.50022346368715</f>
        <v>54.210125571921466</v>
      </c>
      <c r="AD11" s="7">
        <f>U11*(362/599)*(AD$3/U$3)*0.50022346368715</f>
        <v>51.77853682595137</v>
      </c>
      <c r="AE11" s="7">
        <f>U11*(290/599)*(AE$3/U$3)*0.50022346368715</f>
        <v>41.096678772816254</v>
      </c>
      <c r="AF11" s="7">
        <f>U11*(287/599)*(AF$3/U$3)*0.50022346368715</f>
        <v>40.519781236260123</v>
      </c>
      <c r="AG11" s="7">
        <f>U11*(281/599)*(AG$3/U$3)*0.50022346368715</f>
        <v>40.192731624564459</v>
      </c>
      <c r="AH11" s="7">
        <f>U11*(254/599)*(AH$3/U$3)*0.50022346368715</f>
        <v>36.733725909273964</v>
      </c>
      <c r="AI11" s="7">
        <f>U11*(503/599)*(AI$3/U$3)*0.50022346368715</f>
        <v>72.345383466052866</v>
      </c>
      <c r="AJ11" s="7">
        <f t="shared" si="1"/>
        <v>2359.9755039139741</v>
      </c>
      <c r="AK11" s="7">
        <v>37676</v>
      </c>
      <c r="AL11" s="7">
        <f t="shared" si="2"/>
        <v>35316.024496086029</v>
      </c>
    </row>
    <row r="12" spans="1:38" x14ac:dyDescent="0.3">
      <c r="A12" s="10"/>
      <c r="B12" s="10"/>
      <c r="C12" s="10"/>
      <c r="D12" s="10"/>
      <c r="E12" s="10"/>
      <c r="F12" s="10"/>
      <c r="G12" s="10" t="s">
        <v>59</v>
      </c>
      <c r="H12" s="11">
        <v>7</v>
      </c>
      <c r="I12" s="8">
        <v>2.229299363057325E-2</v>
      </c>
      <c r="J12" s="8">
        <v>1.6925246826516221E-2</v>
      </c>
      <c r="K12" s="9">
        <v>12</v>
      </c>
      <c r="L12" s="11">
        <v>0</v>
      </c>
      <c r="M12" s="11">
        <v>0</v>
      </c>
      <c r="N12" s="11">
        <v>0</v>
      </c>
      <c r="O12" s="11">
        <v>0</v>
      </c>
      <c r="P12" s="11">
        <f t="shared" si="0"/>
        <v>0</v>
      </c>
      <c r="Q12" s="11">
        <v>0</v>
      </c>
      <c r="R12" s="11">
        <v>0</v>
      </c>
      <c r="S12" s="11">
        <v>0</v>
      </c>
      <c r="T12" s="11">
        <v>0</v>
      </c>
      <c r="U12" s="11">
        <v>0</v>
      </c>
      <c r="V12" s="11">
        <f t="shared" ref="V12:AI12" si="5">3.67938659058487*V$3*$J12*0.393239436619718</f>
        <v>7.6405054767194578</v>
      </c>
      <c r="W12" s="11">
        <f t="shared" si="5"/>
        <v>11.411780615869448</v>
      </c>
      <c r="X12" s="11">
        <f t="shared" si="5"/>
        <v>12.048489405596069</v>
      </c>
      <c r="Y12" s="11">
        <f t="shared" si="5"/>
        <v>12.44031019927399</v>
      </c>
      <c r="Z12" s="11">
        <f t="shared" si="5"/>
        <v>13.052530189395743</v>
      </c>
      <c r="AA12" s="11">
        <f t="shared" si="5"/>
        <v>13.248440586234702</v>
      </c>
      <c r="AB12" s="11">
        <f t="shared" si="5"/>
        <v>13.101507788605481</v>
      </c>
      <c r="AC12" s="11">
        <f t="shared" si="5"/>
        <v>13.248440586234702</v>
      </c>
      <c r="AD12" s="11">
        <f t="shared" si="5"/>
        <v>13.248440586234702</v>
      </c>
      <c r="AE12" s="11">
        <f t="shared" si="5"/>
        <v>13.12599658821035</v>
      </c>
      <c r="AF12" s="11">
        <f t="shared" si="5"/>
        <v>13.077018989000614</v>
      </c>
      <c r="AG12" s="11">
        <f t="shared" si="5"/>
        <v>13.248440586234702</v>
      </c>
      <c r="AH12" s="11">
        <f t="shared" si="5"/>
        <v>13.395373383863923</v>
      </c>
      <c r="AI12" s="11">
        <f t="shared" si="5"/>
        <v>13.321906985049312</v>
      </c>
      <c r="AJ12" s="11">
        <f t="shared" si="1"/>
        <v>175.60918196652321</v>
      </c>
      <c r="AK12" s="11">
        <v>34218</v>
      </c>
      <c r="AL12" s="11">
        <f t="shared" si="2"/>
        <v>34042.390818033477</v>
      </c>
    </row>
    <row r="13" spans="1:38" x14ac:dyDescent="0.3">
      <c r="A13" s="6"/>
      <c r="B13" s="6"/>
      <c r="C13" s="6"/>
      <c r="D13" s="6"/>
      <c r="E13" s="6"/>
      <c r="F13" s="6"/>
      <c r="G13" s="6" t="s">
        <v>60</v>
      </c>
      <c r="H13" s="7">
        <v>4</v>
      </c>
      <c r="I13" s="8">
        <v>1.2738853503184711E-2</v>
      </c>
      <c r="J13" s="8">
        <v>1.2693935119887159E-2</v>
      </c>
      <c r="K13" s="9">
        <v>9</v>
      </c>
      <c r="L13" s="7">
        <v>0</v>
      </c>
      <c r="M13" s="7">
        <v>0</v>
      </c>
      <c r="N13" s="7">
        <v>0</v>
      </c>
      <c r="O13" s="7">
        <v>0</v>
      </c>
      <c r="P13" s="7">
        <f t="shared" si="0"/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f t="shared" ref="V13:AI13" si="6">3.67938659058487*V$3*$J13*0.354185418541854</f>
        <v>5.1612746169457706</v>
      </c>
      <c r="W13" s="7">
        <f t="shared" si="6"/>
        <v>7.7088268317202857</v>
      </c>
      <c r="X13" s="7">
        <f t="shared" si="6"/>
        <v>8.1389330497990997</v>
      </c>
      <c r="Y13" s="7">
        <f t="shared" si="6"/>
        <v>8.4036137993860613</v>
      </c>
      <c r="Z13" s="7">
        <f t="shared" si="6"/>
        <v>8.8171774706156913</v>
      </c>
      <c r="AA13" s="7">
        <f t="shared" si="6"/>
        <v>8.9495178454091722</v>
      </c>
      <c r="AB13" s="7">
        <f t="shared" si="6"/>
        <v>8.8502625643140611</v>
      </c>
      <c r="AC13" s="7">
        <f t="shared" si="6"/>
        <v>8.9495178454091722</v>
      </c>
      <c r="AD13" s="7">
        <f t="shared" si="6"/>
        <v>8.9495178454091722</v>
      </c>
      <c r="AE13" s="7">
        <f t="shared" si="6"/>
        <v>8.8668051111632469</v>
      </c>
      <c r="AF13" s="7">
        <f t="shared" si="6"/>
        <v>8.8337200174648771</v>
      </c>
      <c r="AG13" s="7">
        <f t="shared" si="6"/>
        <v>8.9495178454091722</v>
      </c>
      <c r="AH13" s="7">
        <f t="shared" si="6"/>
        <v>9.0487731265042832</v>
      </c>
      <c r="AI13" s="7">
        <f t="shared" si="6"/>
        <v>8.9991454859567277</v>
      </c>
      <c r="AJ13" s="7">
        <f t="shared" si="1"/>
        <v>118.62660345550681</v>
      </c>
      <c r="AK13" s="7">
        <v>33019</v>
      </c>
      <c r="AL13" s="7">
        <f t="shared" si="2"/>
        <v>32900.373396544492</v>
      </c>
    </row>
    <row r="14" spans="1:38" x14ac:dyDescent="0.3">
      <c r="A14" s="10"/>
      <c r="B14" s="10"/>
      <c r="C14" s="10"/>
      <c r="D14" s="10"/>
      <c r="E14" s="10"/>
      <c r="F14" s="10"/>
      <c r="G14" s="10" t="s">
        <v>61</v>
      </c>
      <c r="H14" s="11">
        <v>8</v>
      </c>
      <c r="I14" s="8">
        <v>2.5477707006369432E-2</v>
      </c>
      <c r="J14" s="8">
        <v>1.9746121297602261E-2</v>
      </c>
      <c r="K14" s="9">
        <v>12</v>
      </c>
      <c r="L14" s="11">
        <v>0</v>
      </c>
      <c r="M14" s="11">
        <v>21</v>
      </c>
      <c r="N14" s="11">
        <v>27</v>
      </c>
      <c r="O14" s="11">
        <v>24</v>
      </c>
      <c r="P14" s="11">
        <f t="shared" si="0"/>
        <v>72</v>
      </c>
      <c r="Q14" s="11">
        <v>18</v>
      </c>
      <c r="R14" s="11">
        <v>6</v>
      </c>
      <c r="S14" s="11">
        <v>6</v>
      </c>
      <c r="T14" s="11">
        <v>15</v>
      </c>
      <c r="U14" s="11">
        <v>7</v>
      </c>
      <c r="V14" s="11">
        <f>U14*(556/539)*(V$3/U$3)*0.135855023108732</f>
        <v>0.42686957866865832</v>
      </c>
      <c r="W14" s="11">
        <f>U14*(604/539)*(W$3/U$3)*0.135855023108732</f>
        <v>0.69260986839602501</v>
      </c>
      <c r="X14" s="11">
        <f>U14*(528/539)*(X$3/U$3)*0.135855023108732</f>
        <v>0.63924132810038148</v>
      </c>
      <c r="Y14" s="11">
        <f>U14*(555/539)*(Y$3/U$3)*0.135855023108732</f>
        <v>0.69378118088130369</v>
      </c>
      <c r="Z14" s="11">
        <f>U14*(512/539)*(Z$3/U$3)*0.135855023108732</f>
        <v>0.67152624366100688</v>
      </c>
      <c r="AA14" s="11">
        <f>U14*(500/539)*(AA$3/U$3)*0.135855023108732</f>
        <v>0.66563030938636825</v>
      </c>
      <c r="AB14" s="11">
        <f>U14*(368/539)*(AB$3/U$3)*0.135855023108732</f>
        <v>0.48447059265060322</v>
      </c>
      <c r="AC14" s="11">
        <f>U14*(371/539)*(AC$3/U$3)*0.135855023108732</f>
        <v>0.49389768956468522</v>
      </c>
      <c r="AD14" s="11">
        <f>U14*(300/539)*(AD$3/U$3)*0.135855023108732</f>
        <v>0.39937818563182098</v>
      </c>
      <c r="AE14" s="11">
        <f>U14*(290/539)*(AE$3/U$3)*0.135855023108732</f>
        <v>0.38249750569692087</v>
      </c>
      <c r="AF14" s="11">
        <f>U14*(298/539)*(AF$3/U$3)*0.135855023108732</f>
        <v>0.39158255967937716</v>
      </c>
      <c r="AG14" s="11">
        <f>U14*(258/539)*(AG$3/U$3)*0.135855023108732</f>
        <v>0.34346523964336606</v>
      </c>
      <c r="AH14" s="11">
        <f>U14*(236/539)*(AH$3/U$3)*0.135855023108732</f>
        <v>0.31766191460001869</v>
      </c>
      <c r="AI14" s="11">
        <f>U14*(437/539)*(AI$3/U$3)*0.135855023108732</f>
        <v>0.58498692121923301</v>
      </c>
      <c r="AJ14" s="11">
        <f t="shared" si="1"/>
        <v>59.187599117779754</v>
      </c>
      <c r="AK14" s="11">
        <v>30091</v>
      </c>
      <c r="AL14" s="11">
        <f t="shared" si="2"/>
        <v>30031.81240088222</v>
      </c>
    </row>
    <row r="15" spans="1:38" x14ac:dyDescent="0.3">
      <c r="A15" s="6"/>
      <c r="B15" s="6"/>
      <c r="C15" s="6"/>
      <c r="D15" s="6"/>
      <c r="E15" s="6"/>
      <c r="F15" s="6"/>
      <c r="G15" s="6" t="s">
        <v>62</v>
      </c>
      <c r="H15" s="7">
        <v>3</v>
      </c>
      <c r="I15" s="8">
        <v>9.5541401273885346E-3</v>
      </c>
      <c r="J15" s="8">
        <v>9.8730606488011286E-3</v>
      </c>
      <c r="K15" s="9">
        <v>9</v>
      </c>
      <c r="L15" s="7">
        <v>0</v>
      </c>
      <c r="M15" s="7">
        <v>203</v>
      </c>
      <c r="N15" s="7">
        <v>23</v>
      </c>
      <c r="O15" s="7">
        <v>41</v>
      </c>
      <c r="P15" s="7">
        <f t="shared" si="0"/>
        <v>267</v>
      </c>
      <c r="Q15" s="7">
        <v>88</v>
      </c>
      <c r="R15" s="7">
        <v>22</v>
      </c>
      <c r="S15" s="7">
        <v>0</v>
      </c>
      <c r="T15" s="7">
        <v>0</v>
      </c>
      <c r="U15" s="7">
        <v>0</v>
      </c>
      <c r="V15" s="7">
        <f t="shared" ref="V15:AI15" si="7">3.67938659058487*V$3*$J15*0.957501609787508</f>
        <v>10.852288556273672</v>
      </c>
      <c r="W15" s="7">
        <f t="shared" si="7"/>
        <v>16.208866882126703</v>
      </c>
      <c r="X15" s="7">
        <f t="shared" si="7"/>
        <v>17.113224261816178</v>
      </c>
      <c r="Y15" s="7">
        <f t="shared" si="7"/>
        <v>17.669751880086622</v>
      </c>
      <c r="Z15" s="7">
        <f t="shared" si="7"/>
        <v>18.539326283634193</v>
      </c>
      <c r="AA15" s="7">
        <f t="shared" si="7"/>
        <v>18.817590092769414</v>
      </c>
      <c r="AB15" s="7">
        <f t="shared" si="7"/>
        <v>18.608892235917999</v>
      </c>
      <c r="AC15" s="7">
        <f t="shared" si="7"/>
        <v>18.817590092769414</v>
      </c>
      <c r="AD15" s="7">
        <f t="shared" si="7"/>
        <v>18.817590092769414</v>
      </c>
      <c r="AE15" s="7">
        <f t="shared" si="7"/>
        <v>18.6436752120599</v>
      </c>
      <c r="AF15" s="7">
        <f t="shared" si="7"/>
        <v>18.574109259776098</v>
      </c>
      <c r="AG15" s="7">
        <f t="shared" si="7"/>
        <v>18.817590092769414</v>
      </c>
      <c r="AH15" s="7">
        <f t="shared" si="7"/>
        <v>19.02628794962083</v>
      </c>
      <c r="AI15" s="7">
        <f t="shared" si="7"/>
        <v>18.921939021195122</v>
      </c>
      <c r="AJ15" s="7">
        <f t="shared" si="1"/>
        <v>359.42872191358504</v>
      </c>
      <c r="AK15" s="7">
        <v>29698</v>
      </c>
      <c r="AL15" s="7">
        <f t="shared" si="2"/>
        <v>29338.571278086416</v>
      </c>
    </row>
    <row r="16" spans="1:38" x14ac:dyDescent="0.3">
      <c r="A16" s="10"/>
      <c r="B16" s="10"/>
      <c r="C16" s="10"/>
      <c r="D16" s="10"/>
      <c r="E16" s="10"/>
      <c r="F16" s="10"/>
      <c r="G16" s="10" t="s">
        <v>63</v>
      </c>
      <c r="H16" s="11">
        <v>5</v>
      </c>
      <c r="I16" s="8">
        <v>1.5923566878980892E-2</v>
      </c>
      <c r="J16" s="8">
        <v>1.6925246826516221E-2</v>
      </c>
      <c r="K16" s="9">
        <v>12</v>
      </c>
      <c r="L16" s="11">
        <v>0</v>
      </c>
      <c r="M16" s="11">
        <v>30</v>
      </c>
      <c r="N16" s="11">
        <v>74</v>
      </c>
      <c r="O16" s="11">
        <v>64</v>
      </c>
      <c r="P16" s="11">
        <f t="shared" si="0"/>
        <v>168</v>
      </c>
      <c r="Q16" s="11">
        <v>49</v>
      </c>
      <c r="R16" s="11">
        <v>31</v>
      </c>
      <c r="S16" s="11">
        <v>6</v>
      </c>
      <c r="T16" s="11">
        <v>4</v>
      </c>
      <c r="U16" s="11">
        <v>0</v>
      </c>
      <c r="V16" s="11">
        <f t="shared" ref="V16:AI16" si="8">3.67938659058487*V$3*$J16*0.181050553788792</f>
        <v>3.5177492869925273</v>
      </c>
      <c r="W16" s="11">
        <f t="shared" si="8"/>
        <v>5.2540742555721733</v>
      </c>
      <c r="X16" s="11">
        <f t="shared" si="8"/>
        <v>5.5472200294882166</v>
      </c>
      <c r="Y16" s="11">
        <f t="shared" si="8"/>
        <v>5.7276174288211665</v>
      </c>
      <c r="Z16" s="11">
        <f t="shared" si="8"/>
        <v>6.0094883652789015</v>
      </c>
      <c r="AA16" s="11">
        <f t="shared" si="8"/>
        <v>6.0996870649453765</v>
      </c>
      <c r="AB16" s="11">
        <f t="shared" si="8"/>
        <v>6.0320380401955198</v>
      </c>
      <c r="AC16" s="11">
        <f t="shared" si="8"/>
        <v>6.0996870649453765</v>
      </c>
      <c r="AD16" s="11">
        <f t="shared" si="8"/>
        <v>6.0996870649453765</v>
      </c>
      <c r="AE16" s="11">
        <f t="shared" si="8"/>
        <v>6.043312877653829</v>
      </c>
      <c r="AF16" s="11">
        <f t="shared" si="8"/>
        <v>6.0207632027372116</v>
      </c>
      <c r="AG16" s="11">
        <f t="shared" si="8"/>
        <v>6.0996870649453765</v>
      </c>
      <c r="AH16" s="11">
        <f t="shared" si="8"/>
        <v>6.1673360896952332</v>
      </c>
      <c r="AI16" s="11">
        <f t="shared" si="8"/>
        <v>6.1335115773203048</v>
      </c>
      <c r="AJ16" s="11">
        <f t="shared" si="1"/>
        <v>170.85185941353657</v>
      </c>
      <c r="AK16" s="11">
        <v>26370</v>
      </c>
      <c r="AL16" s="11">
        <f t="shared" si="2"/>
        <v>26199.148140586465</v>
      </c>
    </row>
    <row r="17" spans="1:38" x14ac:dyDescent="0.3">
      <c r="A17" s="6"/>
      <c r="B17" s="6"/>
      <c r="C17" s="6"/>
      <c r="D17" s="6"/>
      <c r="E17" s="6"/>
      <c r="F17" s="6"/>
      <c r="G17" s="6" t="s">
        <v>64</v>
      </c>
      <c r="H17" s="7">
        <v>5</v>
      </c>
      <c r="I17" s="8">
        <v>1.5923566878980892E-2</v>
      </c>
      <c r="J17" s="8">
        <v>1.4104372355430181E-2</v>
      </c>
      <c r="K17" s="9">
        <v>10</v>
      </c>
      <c r="L17" s="7">
        <v>0</v>
      </c>
      <c r="M17" s="7">
        <v>0</v>
      </c>
      <c r="N17" s="7">
        <v>6</v>
      </c>
      <c r="O17" s="7">
        <v>24</v>
      </c>
      <c r="P17" s="7">
        <f t="shared" si="0"/>
        <v>30</v>
      </c>
      <c r="Q17" s="7">
        <v>103</v>
      </c>
      <c r="R17" s="7">
        <v>182</v>
      </c>
      <c r="S17" s="7">
        <v>159</v>
      </c>
      <c r="T17" s="7">
        <v>148</v>
      </c>
      <c r="U17" s="7">
        <v>317</v>
      </c>
      <c r="V17" s="7">
        <f>U17*(502/473)*(V$3/U$3)*1.20635374928448</f>
        <v>176.60864369703037</v>
      </c>
      <c r="W17" s="7">
        <f>U17*(478/473)*(W$3/U$3)*1.20635374928448</f>
        <v>251.16982177843826</v>
      </c>
      <c r="X17" s="7">
        <f>U17*(499/473)*(X$3/U$3)*1.20635374928448</f>
        <v>276.83391368353847</v>
      </c>
      <c r="Y17" s="7">
        <f>U17*(493/473)*(Y$3/U$3)*1.20635374928448</f>
        <v>282.39972904573415</v>
      </c>
      <c r="Z17" s="7">
        <f>U17*(408/473)*(Z$3/U$3)*1.20635374928448</f>
        <v>245.21160290205211</v>
      </c>
      <c r="AA17" s="7">
        <f>U17*(443/473)*(AA$3/U$3)*1.20635374928448</f>
        <v>270.24311327996594</v>
      </c>
      <c r="AB17" s="7">
        <f>U17*(319/473)*(AB$3/U$3)*1.20635374928448</f>
        <v>192.44122341757125</v>
      </c>
      <c r="AC17" s="7">
        <f>U17*(293/473)*(AC$3/U$3)*1.20635374928448</f>
        <v>178.73867311744928</v>
      </c>
      <c r="AD17" s="7">
        <f>U17*(276/473)*(AD$3/U$3)*1.20635374928448</f>
        <v>168.3681698990307</v>
      </c>
      <c r="AE17" s="7">
        <f>U17*(239/473)*(AE$3/U$3)*1.20635374928448</f>
        <v>144.44959707429496</v>
      </c>
      <c r="AF17" s="7">
        <f>U17*(224/473)*(AF$3/U$3)*1.20635374928448</f>
        <v>134.8785596362242</v>
      </c>
      <c r="AG17" s="7">
        <f>U17*(215/473)*(AG$3/U$3)*1.20635374928448</f>
        <v>131.15636423294058</v>
      </c>
      <c r="AH17" s="7">
        <f>U17*(216/473)*(AH$3/U$3)*1.20635374928448</f>
        <v>133.22775864549197</v>
      </c>
      <c r="AI17" s="7">
        <f>U17*(394/473)*(AI$3/U$3)*1.20635374928448</f>
        <v>241.68448165955857</v>
      </c>
      <c r="AJ17" s="7">
        <f t="shared" si="1"/>
        <v>3736.411652069321</v>
      </c>
      <c r="AK17" s="7">
        <v>22590</v>
      </c>
      <c r="AL17" s="7">
        <f t="shared" si="2"/>
        <v>18853.588347930679</v>
      </c>
    </row>
    <row r="18" spans="1:38" x14ac:dyDescent="0.3">
      <c r="A18" s="10"/>
      <c r="B18" s="10"/>
      <c r="C18" s="10"/>
      <c r="D18" s="10"/>
      <c r="E18" s="10"/>
      <c r="F18" s="10"/>
      <c r="G18" s="10" t="s">
        <v>65</v>
      </c>
      <c r="H18" s="11">
        <v>0</v>
      </c>
      <c r="I18" s="8">
        <v>0</v>
      </c>
      <c r="J18" s="8">
        <v>4.2313117066290554E-3</v>
      </c>
      <c r="K18" s="9">
        <v>5</v>
      </c>
      <c r="L18" s="11">
        <v>0</v>
      </c>
      <c r="M18" s="11">
        <v>0</v>
      </c>
      <c r="N18" s="11">
        <v>0</v>
      </c>
      <c r="O18" s="11">
        <v>0</v>
      </c>
      <c r="P18" s="11">
        <f t="shared" si="0"/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f t="shared" ref="V18:AI18" si="9">3.67938659058487*V$3*$J18*0.154450261780104</f>
        <v>0.75022871634873212</v>
      </c>
      <c r="W18" s="11">
        <f t="shared" si="9"/>
        <v>1.1205339160849654</v>
      </c>
      <c r="X18" s="11">
        <f t="shared" si="9"/>
        <v>1.1830529757806929</v>
      </c>
      <c r="Y18" s="11">
        <f t="shared" si="9"/>
        <v>1.2215262432857561</v>
      </c>
      <c r="Z18" s="11">
        <f t="shared" si="9"/>
        <v>1.2816407237624174</v>
      </c>
      <c r="AA18" s="11">
        <f t="shared" si="9"/>
        <v>1.300877357514949</v>
      </c>
      <c r="AB18" s="11">
        <f t="shared" si="9"/>
        <v>1.2864498822005501</v>
      </c>
      <c r="AC18" s="11">
        <f t="shared" si="9"/>
        <v>1.300877357514949</v>
      </c>
      <c r="AD18" s="11">
        <f t="shared" si="9"/>
        <v>1.300877357514949</v>
      </c>
      <c r="AE18" s="11">
        <f t="shared" si="9"/>
        <v>1.2888544614196167</v>
      </c>
      <c r="AF18" s="11">
        <f t="shared" si="9"/>
        <v>1.284045302981484</v>
      </c>
      <c r="AG18" s="11">
        <f t="shared" si="9"/>
        <v>1.300877357514949</v>
      </c>
      <c r="AH18" s="11">
        <f t="shared" si="9"/>
        <v>1.3153048328293477</v>
      </c>
      <c r="AI18" s="11">
        <f t="shared" si="9"/>
        <v>1.3080910951721483</v>
      </c>
      <c r="AJ18" s="11">
        <f t="shared" si="1"/>
        <v>17.243237579925506</v>
      </c>
      <c r="AK18" s="11">
        <v>19398</v>
      </c>
      <c r="AL18" s="11">
        <f t="shared" si="2"/>
        <v>19380.756762420075</v>
      </c>
    </row>
    <row r="19" spans="1:38" x14ac:dyDescent="0.3">
      <c r="A19" s="6"/>
      <c r="B19" s="6"/>
      <c r="C19" s="6"/>
      <c r="D19" s="6"/>
      <c r="E19" s="6"/>
      <c r="F19" s="6"/>
      <c r="G19" s="6" t="s">
        <v>66</v>
      </c>
      <c r="H19" s="7">
        <v>4</v>
      </c>
      <c r="I19" s="8">
        <v>1.2738853503184711E-2</v>
      </c>
      <c r="J19" s="8">
        <v>9.8730606488011286E-3</v>
      </c>
      <c r="K19" s="9">
        <v>5</v>
      </c>
      <c r="L19" s="7">
        <v>0</v>
      </c>
      <c r="M19" s="7">
        <v>0</v>
      </c>
      <c r="N19" s="7">
        <v>0</v>
      </c>
      <c r="O19" s="7">
        <v>0</v>
      </c>
      <c r="P19" s="7">
        <f t="shared" si="0"/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f t="shared" ref="V19:AI19" si="10">3.67938659058487*V$3*$J19*0.14645703209132</f>
        <v>1.6599386957721791</v>
      </c>
      <c r="W19" s="7">
        <f t="shared" si="10"/>
        <v>2.4792674109930628</v>
      </c>
      <c r="X19" s="7">
        <f t="shared" si="10"/>
        <v>2.6175956356407442</v>
      </c>
      <c r="Y19" s="7">
        <f t="shared" si="10"/>
        <v>2.7027206969623943</v>
      </c>
      <c r="Z19" s="7">
        <f t="shared" si="10"/>
        <v>2.8357286052774731</v>
      </c>
      <c r="AA19" s="7">
        <f t="shared" si="10"/>
        <v>2.8782911359382983</v>
      </c>
      <c r="AB19" s="7">
        <f t="shared" si="10"/>
        <v>2.846369237942679</v>
      </c>
      <c r="AC19" s="7">
        <f t="shared" si="10"/>
        <v>2.8782911359382983</v>
      </c>
      <c r="AD19" s="7">
        <f t="shared" si="10"/>
        <v>2.8782911359382983</v>
      </c>
      <c r="AE19" s="7">
        <f t="shared" si="10"/>
        <v>2.8516895542752825</v>
      </c>
      <c r="AF19" s="7">
        <f t="shared" si="10"/>
        <v>2.8410489216100765</v>
      </c>
      <c r="AG19" s="7">
        <f t="shared" si="10"/>
        <v>2.8782911359382983</v>
      </c>
      <c r="AH19" s="7">
        <f t="shared" si="10"/>
        <v>2.9102130339339167</v>
      </c>
      <c r="AI19" s="7">
        <f t="shared" si="10"/>
        <v>2.8942520849361073</v>
      </c>
      <c r="AJ19" s="7">
        <f t="shared" si="1"/>
        <v>38.151988421097101</v>
      </c>
      <c r="AK19" s="7">
        <v>18542</v>
      </c>
      <c r="AL19" s="7">
        <f t="shared" si="2"/>
        <v>18503.848011578903</v>
      </c>
    </row>
    <row r="20" spans="1:38" x14ac:dyDescent="0.3">
      <c r="A20" s="10"/>
      <c r="B20" s="10"/>
      <c r="C20" s="10"/>
      <c r="D20" s="10"/>
      <c r="E20" s="10"/>
      <c r="F20" s="10"/>
      <c r="G20" s="10" t="s">
        <v>67</v>
      </c>
      <c r="H20" s="11">
        <v>6</v>
      </c>
      <c r="I20" s="8">
        <v>1.9108280254777069E-2</v>
      </c>
      <c r="J20" s="8">
        <v>2.256699576868829E-2</v>
      </c>
      <c r="K20" s="9">
        <v>16</v>
      </c>
      <c r="L20" s="11">
        <v>0</v>
      </c>
      <c r="M20" s="11">
        <v>13</v>
      </c>
      <c r="N20" s="11">
        <v>14</v>
      </c>
      <c r="O20" s="11">
        <v>20</v>
      </c>
      <c r="P20" s="11">
        <f t="shared" si="0"/>
        <v>47</v>
      </c>
      <c r="Q20" s="11">
        <v>10</v>
      </c>
      <c r="R20" s="11">
        <v>4</v>
      </c>
      <c r="S20" s="11">
        <v>0</v>
      </c>
      <c r="T20" s="11">
        <v>0</v>
      </c>
      <c r="U20" s="11">
        <v>0</v>
      </c>
      <c r="V20" s="11">
        <f t="shared" ref="V20:AI20" si="11">3.67938659058487*V$3*$J20*0.0804296346414073</f>
        <v>2.0836264346582363</v>
      </c>
      <c r="W20" s="11">
        <f t="shared" si="11"/>
        <v>3.1120830722780068</v>
      </c>
      <c r="X20" s="11">
        <f t="shared" si="11"/>
        <v>3.2857186084995265</v>
      </c>
      <c r="Y20" s="11">
        <f t="shared" si="11"/>
        <v>3.3925712461743083</v>
      </c>
      <c r="Z20" s="11">
        <f t="shared" si="11"/>
        <v>3.5595284925411543</v>
      </c>
      <c r="AA20" s="11">
        <f t="shared" si="11"/>
        <v>3.6129548113785446</v>
      </c>
      <c r="AB20" s="11">
        <f t="shared" si="11"/>
        <v>3.5728850722505019</v>
      </c>
      <c r="AC20" s="11">
        <f t="shared" si="11"/>
        <v>3.6129548113785446</v>
      </c>
      <c r="AD20" s="11">
        <f t="shared" si="11"/>
        <v>3.6129548113785446</v>
      </c>
      <c r="AE20" s="11">
        <f t="shared" si="11"/>
        <v>3.5795633621051755</v>
      </c>
      <c r="AF20" s="11">
        <f t="shared" si="11"/>
        <v>3.5662067823958279</v>
      </c>
      <c r="AG20" s="11">
        <f t="shared" si="11"/>
        <v>3.6129548113785446</v>
      </c>
      <c r="AH20" s="11">
        <f t="shared" si="11"/>
        <v>3.6530245505065877</v>
      </c>
      <c r="AI20" s="11">
        <f t="shared" si="11"/>
        <v>3.6329896809425661</v>
      </c>
      <c r="AJ20" s="11">
        <f t="shared" si="1"/>
        <v>61.890016547866068</v>
      </c>
      <c r="AK20" s="11">
        <v>18388</v>
      </c>
      <c r="AL20" s="11">
        <f t="shared" si="2"/>
        <v>18326.109983452134</v>
      </c>
    </row>
    <row r="21" spans="1:38" x14ac:dyDescent="0.3">
      <c r="A21" s="6"/>
      <c r="B21" s="6"/>
      <c r="C21" s="6"/>
      <c r="D21" s="6"/>
      <c r="E21" s="6"/>
      <c r="F21" s="6"/>
      <c r="G21" s="6" t="s">
        <v>68</v>
      </c>
      <c r="H21" s="7">
        <v>0</v>
      </c>
      <c r="I21" s="8">
        <v>0</v>
      </c>
      <c r="J21" s="8">
        <v>4.2313117066290554E-3</v>
      </c>
      <c r="K21" s="9">
        <v>3</v>
      </c>
      <c r="L21" s="7">
        <v>0</v>
      </c>
      <c r="M21" s="7">
        <v>0</v>
      </c>
      <c r="N21" s="7">
        <v>0</v>
      </c>
      <c r="O21" s="7">
        <v>0</v>
      </c>
      <c r="P21" s="7">
        <f t="shared" si="0"/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f t="shared" ref="V21:AI21" si="12">3.67938659058487*V$3*$J21*0.229411764705882</f>
        <v>1.1143476985207823</v>
      </c>
      <c r="W21" s="7">
        <f t="shared" si="12"/>
        <v>1.6643782933034763</v>
      </c>
      <c r="X21" s="7">
        <f t="shared" si="12"/>
        <v>1.7572406015135413</v>
      </c>
      <c r="Y21" s="7">
        <f t="shared" si="12"/>
        <v>1.8143866373351201</v>
      </c>
      <c r="Z21" s="7">
        <f t="shared" si="12"/>
        <v>1.9036773183063367</v>
      </c>
      <c r="AA21" s="7">
        <f t="shared" si="12"/>
        <v>1.9322503362171257</v>
      </c>
      <c r="AB21" s="7">
        <f t="shared" si="12"/>
        <v>1.9108205727840337</v>
      </c>
      <c r="AC21" s="7">
        <f t="shared" si="12"/>
        <v>1.9322503362171257</v>
      </c>
      <c r="AD21" s="7">
        <f t="shared" si="12"/>
        <v>1.9322503362171257</v>
      </c>
      <c r="AE21" s="7">
        <f t="shared" si="12"/>
        <v>1.9143922000228824</v>
      </c>
      <c r="AF21" s="7">
        <f t="shared" si="12"/>
        <v>1.9072489455451853</v>
      </c>
      <c r="AG21" s="7">
        <f t="shared" si="12"/>
        <v>1.9322503362171257</v>
      </c>
      <c r="AH21" s="7">
        <f t="shared" si="12"/>
        <v>1.9536800996502179</v>
      </c>
      <c r="AI21" s="7">
        <f t="shared" si="12"/>
        <v>1.9429652179336718</v>
      </c>
      <c r="AJ21" s="7">
        <f t="shared" si="1"/>
        <v>25.612138929783747</v>
      </c>
      <c r="AK21" s="7">
        <v>18163</v>
      </c>
      <c r="AL21" s="7">
        <f t="shared" si="2"/>
        <v>18137.387861070216</v>
      </c>
    </row>
    <row r="22" spans="1:38" x14ac:dyDescent="0.3">
      <c r="A22" s="10"/>
      <c r="B22" s="10"/>
      <c r="C22" s="10"/>
      <c r="D22" s="10"/>
      <c r="E22" s="10"/>
      <c r="F22" s="10"/>
      <c r="G22" s="10" t="s">
        <v>69</v>
      </c>
      <c r="H22" s="11">
        <v>3</v>
      </c>
      <c r="I22" s="8">
        <v>9.5541401273885346E-3</v>
      </c>
      <c r="J22" s="8">
        <v>1.128349788434415E-2</v>
      </c>
      <c r="K22" s="9">
        <v>8</v>
      </c>
      <c r="L22" s="11">
        <v>0</v>
      </c>
      <c r="M22" s="11">
        <v>0</v>
      </c>
      <c r="N22" s="11">
        <v>0</v>
      </c>
      <c r="O22" s="11">
        <v>0</v>
      </c>
      <c r="P22" s="11">
        <f t="shared" si="0"/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f t="shared" ref="V22:AI22" si="13">3.67938659058487*V$3*$J22*0.306482064191315</f>
        <v>3.9698932709616064</v>
      </c>
      <c r="W22" s="11">
        <f t="shared" si="13"/>
        <v>5.929391872654195</v>
      </c>
      <c r="X22" s="11">
        <f t="shared" si="13"/>
        <v>6.2602163119009955</v>
      </c>
      <c r="Y22" s="11">
        <f t="shared" si="13"/>
        <v>6.4638005822067184</v>
      </c>
      <c r="Z22" s="11">
        <f t="shared" si="13"/>
        <v>6.781901004559411</v>
      </c>
      <c r="AA22" s="11">
        <f t="shared" si="13"/>
        <v>6.8836931397122729</v>
      </c>
      <c r="AB22" s="11">
        <f t="shared" si="13"/>
        <v>6.8073490383476258</v>
      </c>
      <c r="AC22" s="11">
        <f t="shared" si="13"/>
        <v>6.8836931397122729</v>
      </c>
      <c r="AD22" s="11">
        <f t="shared" si="13"/>
        <v>6.8836931397122729</v>
      </c>
      <c r="AE22" s="11">
        <f t="shared" si="13"/>
        <v>6.8200730552417346</v>
      </c>
      <c r="AF22" s="11">
        <f t="shared" si="13"/>
        <v>6.7946250214535189</v>
      </c>
      <c r="AG22" s="11">
        <f t="shared" si="13"/>
        <v>6.8836931397122729</v>
      </c>
      <c r="AH22" s="11">
        <f t="shared" si="13"/>
        <v>6.96003724107692</v>
      </c>
      <c r="AI22" s="11">
        <f t="shared" si="13"/>
        <v>6.9218651903945965</v>
      </c>
      <c r="AJ22" s="11">
        <f t="shared" si="1"/>
        <v>91.243925147646408</v>
      </c>
      <c r="AK22" s="11">
        <v>17956</v>
      </c>
      <c r="AL22" s="11">
        <f t="shared" si="2"/>
        <v>17864.756074852354</v>
      </c>
    </row>
    <row r="23" spans="1:38" x14ac:dyDescent="0.3">
      <c r="A23" s="6"/>
      <c r="B23" s="6"/>
      <c r="C23" s="6"/>
      <c r="D23" s="6"/>
      <c r="E23" s="6"/>
      <c r="F23" s="6"/>
      <c r="G23" s="6" t="s">
        <v>70</v>
      </c>
      <c r="H23" s="7">
        <v>3</v>
      </c>
      <c r="I23" s="8">
        <v>9.5541401273885346E-3</v>
      </c>
      <c r="J23" s="8">
        <v>1.128349788434415E-2</v>
      </c>
      <c r="K23" s="9">
        <v>8</v>
      </c>
      <c r="L23" s="7">
        <v>0</v>
      </c>
      <c r="M23" s="7">
        <v>0</v>
      </c>
      <c r="N23" s="7">
        <v>0</v>
      </c>
      <c r="O23" s="7">
        <v>0</v>
      </c>
      <c r="P23" s="7">
        <f t="shared" si="0"/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f t="shared" ref="V23:AI23" si="14">3.67938659058487*V$3*$J23*0.158175355450236</f>
        <v>2.0488614264940286</v>
      </c>
      <c r="W23" s="7">
        <f t="shared" si="14"/>
        <v>3.0601584126481329</v>
      </c>
      <c r="X23" s="7">
        <f t="shared" si="14"/>
        <v>3.2308968648559686</v>
      </c>
      <c r="Y23" s="7">
        <f t="shared" si="14"/>
        <v>3.3359666815992517</v>
      </c>
      <c r="Z23" s="7">
        <f t="shared" si="14"/>
        <v>3.5001382702606323</v>
      </c>
      <c r="AA23" s="7">
        <f t="shared" si="14"/>
        <v>3.5526731786322743</v>
      </c>
      <c r="AB23" s="7">
        <f t="shared" si="14"/>
        <v>3.5132719973535429</v>
      </c>
      <c r="AC23" s="7">
        <f t="shared" si="14"/>
        <v>3.5526731786322743</v>
      </c>
      <c r="AD23" s="7">
        <f t="shared" si="14"/>
        <v>3.5526731786322743</v>
      </c>
      <c r="AE23" s="7">
        <f t="shared" si="14"/>
        <v>3.519838860899998</v>
      </c>
      <c r="AF23" s="7">
        <f t="shared" si="14"/>
        <v>3.5067051338070878</v>
      </c>
      <c r="AG23" s="7">
        <f t="shared" si="14"/>
        <v>3.5526731786322743</v>
      </c>
      <c r="AH23" s="7">
        <f t="shared" si="14"/>
        <v>3.5920743599110057</v>
      </c>
      <c r="AI23" s="7">
        <f t="shared" si="14"/>
        <v>3.57237376927164</v>
      </c>
      <c r="AJ23" s="7">
        <f t="shared" si="1"/>
        <v>47.090978491630388</v>
      </c>
      <c r="AK23" s="7">
        <v>17760</v>
      </c>
      <c r="AL23" s="7">
        <f t="shared" si="2"/>
        <v>17712.909021508371</v>
      </c>
    </row>
    <row r="24" spans="1:38" x14ac:dyDescent="0.3">
      <c r="A24" s="10"/>
      <c r="B24" s="10"/>
      <c r="C24" s="10"/>
      <c r="D24" s="10"/>
      <c r="E24" s="10"/>
      <c r="F24" s="10"/>
      <c r="G24" s="10" t="s">
        <v>71</v>
      </c>
      <c r="H24" s="11">
        <v>5</v>
      </c>
      <c r="I24" s="8">
        <v>1.5923566878980892E-2</v>
      </c>
      <c r="J24" s="8">
        <v>1.6925246826516221E-2</v>
      </c>
      <c r="K24" s="9">
        <v>11</v>
      </c>
      <c r="L24" s="11">
        <v>0</v>
      </c>
      <c r="M24" s="11">
        <v>0</v>
      </c>
      <c r="N24" s="11">
        <v>0</v>
      </c>
      <c r="O24" s="11">
        <v>0</v>
      </c>
      <c r="P24" s="11">
        <f t="shared" si="0"/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f t="shared" ref="V24:AI24" si="15">3.67938659058487*V$3*$J24*0.107527955271565</f>
        <v>2.089230770481787</v>
      </c>
      <c r="W24" s="11">
        <f t="shared" si="15"/>
        <v>3.1204536507836953</v>
      </c>
      <c r="X24" s="11">
        <f t="shared" si="15"/>
        <v>3.2945562149905103</v>
      </c>
      <c r="Y24" s="11">
        <f t="shared" si="15"/>
        <v>3.4016962545023972</v>
      </c>
      <c r="Z24" s="11">
        <f t="shared" si="15"/>
        <v>3.56910256623972</v>
      </c>
      <c r="AA24" s="11">
        <f t="shared" si="15"/>
        <v>3.6226725859956628</v>
      </c>
      <c r="AB24" s="11">
        <f t="shared" si="15"/>
        <v>3.5824950711787054</v>
      </c>
      <c r="AC24" s="11">
        <f t="shared" si="15"/>
        <v>3.6226725859956628</v>
      </c>
      <c r="AD24" s="11">
        <f t="shared" si="15"/>
        <v>3.6226725859956628</v>
      </c>
      <c r="AE24" s="11">
        <f t="shared" si="15"/>
        <v>3.589191323648198</v>
      </c>
      <c r="AF24" s="11">
        <f t="shared" si="15"/>
        <v>3.5757988187092131</v>
      </c>
      <c r="AG24" s="11">
        <f t="shared" si="15"/>
        <v>3.6226725859956628</v>
      </c>
      <c r="AH24" s="11">
        <f t="shared" si="15"/>
        <v>3.6628501008126206</v>
      </c>
      <c r="AI24" s="11">
        <f t="shared" si="15"/>
        <v>3.6427613434041417</v>
      </c>
      <c r="AJ24" s="11">
        <f t="shared" si="1"/>
        <v>48.018826458733642</v>
      </c>
      <c r="AK24" s="11">
        <v>17312</v>
      </c>
      <c r="AL24" s="11">
        <f t="shared" si="2"/>
        <v>17263.981173541266</v>
      </c>
    </row>
    <row r="25" spans="1:38" x14ac:dyDescent="0.3">
      <c r="A25" s="6"/>
      <c r="B25" s="6"/>
      <c r="C25" s="6"/>
      <c r="D25" s="6"/>
      <c r="E25" s="6"/>
      <c r="F25" s="6"/>
      <c r="G25" s="6" t="s">
        <v>72</v>
      </c>
      <c r="H25" s="7">
        <v>3</v>
      </c>
      <c r="I25" s="8">
        <v>9.5541401273885346E-3</v>
      </c>
      <c r="J25" s="8">
        <v>7.052186177715092E-3</v>
      </c>
      <c r="K25" s="9">
        <v>5</v>
      </c>
      <c r="L25" s="7">
        <v>0</v>
      </c>
      <c r="M25" s="7">
        <v>0</v>
      </c>
      <c r="N25" s="7">
        <v>24</v>
      </c>
      <c r="O25" s="7">
        <v>0</v>
      </c>
      <c r="P25" s="7">
        <f t="shared" si="0"/>
        <v>24</v>
      </c>
      <c r="Q25" s="7">
        <v>17</v>
      </c>
      <c r="R25" s="7">
        <v>28</v>
      </c>
      <c r="S25" s="7">
        <v>10</v>
      </c>
      <c r="T25" s="7">
        <v>0</v>
      </c>
      <c r="U25" s="7">
        <v>0</v>
      </c>
      <c r="V25" s="7">
        <f t="shared" ref="V25:AI25" si="16">3.67938659058487*V$3*$J25*0.15307342740971</f>
        <v>1.2392347718623404</v>
      </c>
      <c r="W25" s="7">
        <f t="shared" si="16"/>
        <v>1.8509083451533674</v>
      </c>
      <c r="X25" s="7">
        <f t="shared" si="16"/>
        <v>1.9541779094752292</v>
      </c>
      <c r="Y25" s="7">
        <f t="shared" si="16"/>
        <v>2.0177284105963746</v>
      </c>
      <c r="Z25" s="7">
        <f t="shared" si="16"/>
        <v>2.117026068598165</v>
      </c>
      <c r="AA25" s="7">
        <f t="shared" si="16"/>
        <v>2.1488013191587378</v>
      </c>
      <c r="AB25" s="7">
        <f t="shared" si="16"/>
        <v>2.1249698812383082</v>
      </c>
      <c r="AC25" s="7">
        <f t="shared" si="16"/>
        <v>2.1488013191587378</v>
      </c>
      <c r="AD25" s="7">
        <f t="shared" si="16"/>
        <v>2.1488013191587378</v>
      </c>
      <c r="AE25" s="7">
        <f t="shared" si="16"/>
        <v>2.1289417875583796</v>
      </c>
      <c r="AF25" s="7">
        <f t="shared" si="16"/>
        <v>2.1209979749182368</v>
      </c>
      <c r="AG25" s="7">
        <f t="shared" si="16"/>
        <v>2.1488013191587378</v>
      </c>
      <c r="AH25" s="7">
        <f t="shared" si="16"/>
        <v>2.1726327570791675</v>
      </c>
      <c r="AI25" s="7">
        <f t="shared" si="16"/>
        <v>2.1607170381189529</v>
      </c>
      <c r="AJ25" s="7">
        <f t="shared" si="1"/>
        <v>83.482540221233464</v>
      </c>
      <c r="AK25" s="7">
        <v>16406</v>
      </c>
      <c r="AL25" s="7">
        <f t="shared" si="2"/>
        <v>16322.517459778766</v>
      </c>
    </row>
    <row r="26" spans="1:38" x14ac:dyDescent="0.3">
      <c r="A26" s="10"/>
      <c r="B26" s="10"/>
      <c r="C26" s="10"/>
      <c r="D26" s="10"/>
      <c r="E26" s="10"/>
      <c r="F26" s="10"/>
      <c r="G26" s="10" t="s">
        <v>73</v>
      </c>
      <c r="H26" s="11">
        <v>3</v>
      </c>
      <c r="I26" s="8">
        <v>9.5541401273885346E-3</v>
      </c>
      <c r="J26" s="8">
        <v>9.8730606488011286E-3</v>
      </c>
      <c r="K26" s="9">
        <v>7</v>
      </c>
      <c r="L26" s="11">
        <v>0</v>
      </c>
      <c r="M26" s="11">
        <v>0</v>
      </c>
      <c r="N26" s="11">
        <v>0</v>
      </c>
      <c r="O26" s="11">
        <v>0</v>
      </c>
      <c r="P26" s="11">
        <f t="shared" si="0"/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f t="shared" ref="V26:AI26" si="17">3.67938659058487*V$3*$J26*0.190048375950241</f>
        <v>2.1540014078105885</v>
      </c>
      <c r="W26" s="11">
        <f t="shared" si="17"/>
        <v>3.217194410383764</v>
      </c>
      <c r="X26" s="11">
        <f t="shared" si="17"/>
        <v>3.396694527701313</v>
      </c>
      <c r="Y26" s="11">
        <f t="shared" si="17"/>
        <v>3.5071561383582659</v>
      </c>
      <c r="Z26" s="11">
        <f t="shared" si="17"/>
        <v>3.6797524050097561</v>
      </c>
      <c r="AA26" s="11">
        <f t="shared" si="17"/>
        <v>3.7349832103382323</v>
      </c>
      <c r="AB26" s="11">
        <f t="shared" si="17"/>
        <v>3.6935601063418746</v>
      </c>
      <c r="AC26" s="11">
        <f t="shared" si="17"/>
        <v>3.7349832103382323</v>
      </c>
      <c r="AD26" s="11">
        <f t="shared" si="17"/>
        <v>3.7349832103382323</v>
      </c>
      <c r="AE26" s="11">
        <f t="shared" si="17"/>
        <v>3.7004639570079343</v>
      </c>
      <c r="AF26" s="11">
        <f t="shared" si="17"/>
        <v>3.6866562556758158</v>
      </c>
      <c r="AG26" s="11">
        <f t="shared" si="17"/>
        <v>3.7349832103382323</v>
      </c>
      <c r="AH26" s="11">
        <f t="shared" si="17"/>
        <v>3.7764063143345896</v>
      </c>
      <c r="AI26" s="11">
        <f t="shared" si="17"/>
        <v>3.755694762336411</v>
      </c>
      <c r="AJ26" s="11">
        <f t="shared" si="1"/>
        <v>49.507513126313242</v>
      </c>
      <c r="AK26" s="11">
        <v>12913</v>
      </c>
      <c r="AL26" s="11">
        <f t="shared" si="2"/>
        <v>12863.492486873687</v>
      </c>
    </row>
    <row r="27" spans="1:38" x14ac:dyDescent="0.3">
      <c r="A27" s="6"/>
      <c r="B27" s="6"/>
      <c r="C27" s="6"/>
      <c r="D27" s="6"/>
      <c r="E27" s="6"/>
      <c r="F27" s="6"/>
      <c r="G27" s="6" t="s">
        <v>74</v>
      </c>
      <c r="H27" s="7">
        <v>3</v>
      </c>
      <c r="I27" s="8">
        <v>9.5541401273885346E-3</v>
      </c>
      <c r="J27" s="8">
        <v>9.8730606488011286E-3</v>
      </c>
      <c r="K27" s="9">
        <v>7</v>
      </c>
      <c r="L27" s="7">
        <v>0</v>
      </c>
      <c r="M27" s="7">
        <v>0</v>
      </c>
      <c r="N27" s="7">
        <v>0</v>
      </c>
      <c r="O27" s="7">
        <v>0</v>
      </c>
      <c r="P27" s="7">
        <f t="shared" si="0"/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f t="shared" ref="V27:AI27" si="18">3.67938659058487*V$3*$J27*0.640435835351089</f>
        <v>7.2586765556985364</v>
      </c>
      <c r="W27" s="7">
        <f t="shared" si="18"/>
        <v>10.841484855626661</v>
      </c>
      <c r="X27" s="7">
        <f t="shared" si="18"/>
        <v>11.44637456860154</v>
      </c>
      <c r="Y27" s="7">
        <f t="shared" si="18"/>
        <v>11.818614391970694</v>
      </c>
      <c r="Z27" s="7">
        <f t="shared" si="18"/>
        <v>12.400239115985002</v>
      </c>
      <c r="AA27" s="7">
        <f t="shared" si="18"/>
        <v>12.586359027669578</v>
      </c>
      <c r="AB27" s="7">
        <f t="shared" si="18"/>
        <v>12.446769093906145</v>
      </c>
      <c r="AC27" s="7">
        <f t="shared" si="18"/>
        <v>12.586359027669578</v>
      </c>
      <c r="AD27" s="7">
        <f t="shared" si="18"/>
        <v>12.586359027669578</v>
      </c>
      <c r="AE27" s="7">
        <f t="shared" si="18"/>
        <v>12.470034082866718</v>
      </c>
      <c r="AF27" s="7">
        <f t="shared" si="18"/>
        <v>12.423504104945575</v>
      </c>
      <c r="AG27" s="7">
        <f t="shared" si="18"/>
        <v>12.586359027669578</v>
      </c>
      <c r="AH27" s="7">
        <f t="shared" si="18"/>
        <v>12.725948961433012</v>
      </c>
      <c r="AI27" s="7">
        <f t="shared" si="18"/>
        <v>12.656153994551296</v>
      </c>
      <c r="AJ27" s="7">
        <f t="shared" si="1"/>
        <v>166.83323583626344</v>
      </c>
      <c r="AK27" s="7">
        <v>10758</v>
      </c>
      <c r="AL27" s="7">
        <f t="shared" si="2"/>
        <v>10591.166764163736</v>
      </c>
    </row>
    <row r="28" spans="1:38" x14ac:dyDescent="0.3">
      <c r="A28" s="10"/>
      <c r="B28" s="10"/>
      <c r="C28" s="10"/>
      <c r="D28" s="10"/>
      <c r="E28" s="10"/>
      <c r="F28" s="10"/>
      <c r="G28" s="10" t="s">
        <v>75</v>
      </c>
      <c r="H28" s="11">
        <v>0</v>
      </c>
      <c r="I28" s="8">
        <v>0</v>
      </c>
      <c r="J28" s="8">
        <v>5.6417489421720732E-3</v>
      </c>
      <c r="K28" s="9">
        <v>4</v>
      </c>
      <c r="L28" s="11">
        <v>0</v>
      </c>
      <c r="M28" s="11">
        <v>0</v>
      </c>
      <c r="N28" s="11">
        <v>0</v>
      </c>
      <c r="O28" s="11">
        <v>0</v>
      </c>
      <c r="P28" s="11">
        <f t="shared" si="0"/>
        <v>0</v>
      </c>
      <c r="Q28" s="11">
        <v>39</v>
      </c>
      <c r="R28" s="11">
        <v>0</v>
      </c>
      <c r="S28" s="11">
        <v>0</v>
      </c>
      <c r="T28" s="11">
        <v>0</v>
      </c>
      <c r="U28" s="11">
        <v>0</v>
      </c>
      <c r="V28" s="11">
        <f t="shared" ref="V28:AI28" si="19">3.67938659058487*V$3*$J28*0.174418604651162</f>
        <v>1.1296309406591079</v>
      </c>
      <c r="W28" s="11">
        <f t="shared" si="19"/>
        <v>1.6872051870100779</v>
      </c>
      <c r="X28" s="11">
        <f t="shared" si="19"/>
        <v>1.78134109873167</v>
      </c>
      <c r="Y28" s="11">
        <f t="shared" si="19"/>
        <v>1.8392708905603421</v>
      </c>
      <c r="Z28" s="11">
        <f t="shared" si="19"/>
        <v>1.9297861902926425</v>
      </c>
      <c r="AA28" s="11">
        <f t="shared" si="19"/>
        <v>1.9587510862069788</v>
      </c>
      <c r="AB28" s="11">
        <f t="shared" si="19"/>
        <v>1.9370274142712265</v>
      </c>
      <c r="AC28" s="11">
        <f t="shared" si="19"/>
        <v>1.9587510862069788</v>
      </c>
      <c r="AD28" s="11">
        <f t="shared" si="19"/>
        <v>1.9587510862069788</v>
      </c>
      <c r="AE28" s="11">
        <f t="shared" si="19"/>
        <v>1.9406480262605186</v>
      </c>
      <c r="AF28" s="11">
        <f t="shared" si="19"/>
        <v>1.9334068022819346</v>
      </c>
      <c r="AG28" s="11">
        <f t="shared" si="19"/>
        <v>1.9587510862069788</v>
      </c>
      <c r="AH28" s="11">
        <f t="shared" si="19"/>
        <v>1.9804747581427309</v>
      </c>
      <c r="AI28" s="11">
        <f t="shared" si="19"/>
        <v>1.9696129221748548</v>
      </c>
      <c r="AJ28" s="11">
        <f t="shared" si="1"/>
        <v>64.963408575213037</v>
      </c>
      <c r="AK28" s="11">
        <v>9994</v>
      </c>
      <c r="AL28" s="11">
        <f t="shared" si="2"/>
        <v>9929.0365914247868</v>
      </c>
    </row>
    <row r="29" spans="1:38" x14ac:dyDescent="0.3">
      <c r="A29" s="6"/>
      <c r="B29" s="6"/>
      <c r="C29" s="6"/>
      <c r="D29" s="6"/>
      <c r="E29" s="6"/>
      <c r="F29" s="6"/>
      <c r="G29" s="6" t="s">
        <v>76</v>
      </c>
      <c r="H29" s="7">
        <v>5</v>
      </c>
      <c r="I29" s="8">
        <v>1.5923566878980892E-2</v>
      </c>
      <c r="J29" s="8">
        <v>1.2693935119887159E-2</v>
      </c>
      <c r="K29" s="9">
        <v>9</v>
      </c>
      <c r="L29" s="7">
        <v>0</v>
      </c>
      <c r="M29" s="7">
        <v>0</v>
      </c>
      <c r="N29" s="7">
        <v>0</v>
      </c>
      <c r="O29" s="7">
        <v>0</v>
      </c>
      <c r="P29" s="7">
        <f t="shared" si="0"/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f t="shared" ref="V29:AI29" si="20">3.67938659058487*V$3*$J29*0.121111520963973</f>
        <v>1.7648660454303338</v>
      </c>
      <c r="W29" s="7">
        <f t="shared" si="20"/>
        <v>2.6359858242645369</v>
      </c>
      <c r="X29" s="7">
        <f t="shared" si="20"/>
        <v>2.7830579947170646</v>
      </c>
      <c r="Y29" s="7">
        <f t="shared" si="20"/>
        <v>2.8735639457647739</v>
      </c>
      <c r="Z29" s="7">
        <f t="shared" si="20"/>
        <v>3.0149794942768202</v>
      </c>
      <c r="AA29" s="7">
        <f t="shared" si="20"/>
        <v>3.0602324698006749</v>
      </c>
      <c r="AB29" s="7">
        <f t="shared" si="20"/>
        <v>3.0262927381577835</v>
      </c>
      <c r="AC29" s="7">
        <f t="shared" si="20"/>
        <v>3.0602324698006749</v>
      </c>
      <c r="AD29" s="7">
        <f t="shared" si="20"/>
        <v>3.0602324698006749</v>
      </c>
      <c r="AE29" s="7">
        <f t="shared" si="20"/>
        <v>3.0319493600982654</v>
      </c>
      <c r="AF29" s="7">
        <f t="shared" si="20"/>
        <v>3.0206361162173017</v>
      </c>
      <c r="AG29" s="7">
        <f t="shared" si="20"/>
        <v>3.0602324698006749</v>
      </c>
      <c r="AH29" s="7">
        <f t="shared" si="20"/>
        <v>3.0941722014435658</v>
      </c>
      <c r="AI29" s="7">
        <f t="shared" si="20"/>
        <v>3.0772023356221201</v>
      </c>
      <c r="AJ29" s="7">
        <f t="shared" si="1"/>
        <v>40.563635935195265</v>
      </c>
      <c r="AK29" s="7">
        <v>9474</v>
      </c>
      <c r="AL29" s="7">
        <f t="shared" si="2"/>
        <v>9433.4363640648044</v>
      </c>
    </row>
    <row r="30" spans="1:38" x14ac:dyDescent="0.3">
      <c r="A30" s="10"/>
      <c r="B30" s="10"/>
      <c r="C30" s="10"/>
      <c r="D30" s="10"/>
      <c r="E30" s="10"/>
      <c r="F30" s="10"/>
      <c r="G30" s="10" t="s">
        <v>77</v>
      </c>
      <c r="H30" s="11">
        <v>0</v>
      </c>
      <c r="I30" s="8">
        <v>0</v>
      </c>
      <c r="J30" s="8">
        <v>4.2313117066290554E-3</v>
      </c>
      <c r="K30" s="9">
        <v>3</v>
      </c>
      <c r="L30" s="11">
        <v>0</v>
      </c>
      <c r="M30" s="11">
        <v>0</v>
      </c>
      <c r="N30" s="11">
        <v>0</v>
      </c>
      <c r="O30" s="11">
        <v>0</v>
      </c>
      <c r="P30" s="11">
        <f t="shared" si="0"/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f t="shared" ref="V30:AI30" si="21">3.67938659058487*V$3*$J30*0</f>
        <v>0</v>
      </c>
      <c r="W30" s="11">
        <f t="shared" si="21"/>
        <v>0</v>
      </c>
      <c r="X30" s="11">
        <f t="shared" si="21"/>
        <v>0</v>
      </c>
      <c r="Y30" s="11">
        <f t="shared" si="21"/>
        <v>0</v>
      </c>
      <c r="Z30" s="11">
        <f t="shared" si="21"/>
        <v>0</v>
      </c>
      <c r="AA30" s="11">
        <f t="shared" si="21"/>
        <v>0</v>
      </c>
      <c r="AB30" s="11">
        <f t="shared" si="21"/>
        <v>0</v>
      </c>
      <c r="AC30" s="11">
        <f t="shared" si="21"/>
        <v>0</v>
      </c>
      <c r="AD30" s="11">
        <f t="shared" si="21"/>
        <v>0</v>
      </c>
      <c r="AE30" s="11">
        <f t="shared" si="21"/>
        <v>0</v>
      </c>
      <c r="AF30" s="11">
        <f t="shared" si="21"/>
        <v>0</v>
      </c>
      <c r="AG30" s="11">
        <f t="shared" si="21"/>
        <v>0</v>
      </c>
      <c r="AH30" s="11">
        <f t="shared" si="21"/>
        <v>0</v>
      </c>
      <c r="AI30" s="11">
        <f t="shared" si="21"/>
        <v>0</v>
      </c>
      <c r="AJ30" s="11">
        <f t="shared" si="1"/>
        <v>0</v>
      </c>
      <c r="AK30" s="11">
        <v>8614</v>
      </c>
      <c r="AL30" s="11">
        <f t="shared" si="2"/>
        <v>8614</v>
      </c>
    </row>
    <row r="31" spans="1:38" x14ac:dyDescent="0.3">
      <c r="A31" s="6"/>
      <c r="B31" s="6"/>
      <c r="C31" s="6"/>
      <c r="D31" s="6"/>
      <c r="E31" s="6"/>
      <c r="F31" s="6"/>
      <c r="G31" s="6" t="s">
        <v>78</v>
      </c>
      <c r="H31" s="7">
        <v>3</v>
      </c>
      <c r="I31" s="8">
        <v>9.5541401273885346E-3</v>
      </c>
      <c r="J31" s="8">
        <v>5.6417489421720732E-3</v>
      </c>
      <c r="K31" s="9">
        <v>4</v>
      </c>
      <c r="L31" s="7">
        <v>0</v>
      </c>
      <c r="M31" s="7">
        <v>0</v>
      </c>
      <c r="N31" s="7">
        <v>0</v>
      </c>
      <c r="O31" s="7">
        <v>0</v>
      </c>
      <c r="P31" s="7">
        <f t="shared" si="0"/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f t="shared" ref="V31:AI31" si="22">3.67938659058487*V$3*$J31*0.169010043041606</f>
        <v>1.0946021170377123</v>
      </c>
      <c r="W31" s="7">
        <f t="shared" si="22"/>
        <v>1.6348864953191473</v>
      </c>
      <c r="X31" s="7">
        <f t="shared" si="22"/>
        <v>1.7261033384056232</v>
      </c>
      <c r="Y31" s="7">
        <f t="shared" si="22"/>
        <v>1.782236780304993</v>
      </c>
      <c r="Z31" s="7">
        <f t="shared" si="22"/>
        <v>1.8699452832727586</v>
      </c>
      <c r="AA31" s="7">
        <f t="shared" si="22"/>
        <v>1.8980120042224435</v>
      </c>
      <c r="AB31" s="7">
        <f t="shared" si="22"/>
        <v>1.8769619635101797</v>
      </c>
      <c r="AC31" s="7">
        <f t="shared" si="22"/>
        <v>1.8980120042224435</v>
      </c>
      <c r="AD31" s="7">
        <f t="shared" si="22"/>
        <v>1.8980120042224435</v>
      </c>
      <c r="AE31" s="7">
        <f t="shared" si="22"/>
        <v>1.8804703036288903</v>
      </c>
      <c r="AF31" s="7">
        <f t="shared" si="22"/>
        <v>1.8734536233914691</v>
      </c>
      <c r="AG31" s="7">
        <f t="shared" si="22"/>
        <v>1.8980120042224435</v>
      </c>
      <c r="AH31" s="7">
        <f t="shared" si="22"/>
        <v>1.9190620449347073</v>
      </c>
      <c r="AI31" s="7">
        <f t="shared" si="22"/>
        <v>1.9085370245785753</v>
      </c>
      <c r="AJ31" s="7">
        <f t="shared" si="1"/>
        <v>25.158306991273832</v>
      </c>
      <c r="AK31" s="7">
        <v>8605</v>
      </c>
      <c r="AL31" s="7">
        <f t="shared" si="2"/>
        <v>8579.841693008726</v>
      </c>
    </row>
    <row r="32" spans="1:38" x14ac:dyDescent="0.3">
      <c r="A32" s="10"/>
      <c r="B32" s="10"/>
      <c r="C32" s="10"/>
      <c r="D32" s="10"/>
      <c r="E32" s="10"/>
      <c r="F32" s="10"/>
      <c r="G32" s="10" t="s">
        <v>79</v>
      </c>
      <c r="H32" s="11">
        <v>0</v>
      </c>
      <c r="I32" s="8">
        <v>0</v>
      </c>
      <c r="J32" s="8">
        <v>9.8730606488011286E-3</v>
      </c>
      <c r="K32" s="9">
        <v>8</v>
      </c>
      <c r="L32" s="11">
        <v>0</v>
      </c>
      <c r="M32" s="11">
        <v>0</v>
      </c>
      <c r="N32" s="11">
        <v>1</v>
      </c>
      <c r="O32" s="11">
        <v>0</v>
      </c>
      <c r="P32" s="11">
        <f t="shared" si="0"/>
        <v>1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f t="shared" ref="V32:AI32" si="23">3.67938659058487*V$3*$J32*0.0599506459573232</f>
        <v>0.67947844934512103</v>
      </c>
      <c r="W32" s="11">
        <f t="shared" si="23"/>
        <v>1.014862042932136</v>
      </c>
      <c r="X32" s="11">
        <f t="shared" si="23"/>
        <v>1.0714852470442293</v>
      </c>
      <c r="Y32" s="11">
        <f t="shared" si="23"/>
        <v>1.1063302957285945</v>
      </c>
      <c r="Z32" s="11">
        <f t="shared" si="23"/>
        <v>1.1607756842979151</v>
      </c>
      <c r="AA32" s="11">
        <f t="shared" si="23"/>
        <v>1.1781982086400977</v>
      </c>
      <c r="AB32" s="11">
        <f t="shared" si="23"/>
        <v>1.1651313153834608</v>
      </c>
      <c r="AC32" s="11">
        <f t="shared" si="23"/>
        <v>1.1781982086400977</v>
      </c>
      <c r="AD32" s="11">
        <f t="shared" si="23"/>
        <v>1.1781982086400977</v>
      </c>
      <c r="AE32" s="11">
        <f t="shared" si="23"/>
        <v>1.1673091309262336</v>
      </c>
      <c r="AF32" s="11">
        <f t="shared" si="23"/>
        <v>1.1629534998406881</v>
      </c>
      <c r="AG32" s="11">
        <f t="shared" si="23"/>
        <v>1.1781982086400977</v>
      </c>
      <c r="AH32" s="11">
        <f t="shared" si="23"/>
        <v>1.1912651018967346</v>
      </c>
      <c r="AI32" s="11">
        <f t="shared" si="23"/>
        <v>1.1847316552684162</v>
      </c>
      <c r="AJ32" s="11">
        <f t="shared" si="1"/>
        <v>15.617115257223917</v>
      </c>
      <c r="AK32" s="11">
        <v>7479</v>
      </c>
      <c r="AL32" s="11">
        <f t="shared" si="2"/>
        <v>7463.3828847427758</v>
      </c>
    </row>
    <row r="33" spans="1:38" x14ac:dyDescent="0.3">
      <c r="A33" s="6"/>
      <c r="B33" s="6"/>
      <c r="C33" s="6"/>
      <c r="D33" s="6"/>
      <c r="E33" s="6"/>
      <c r="F33" s="6"/>
      <c r="G33" s="6" t="s">
        <v>80</v>
      </c>
      <c r="H33" s="7">
        <v>0</v>
      </c>
      <c r="I33" s="8">
        <v>0</v>
      </c>
      <c r="J33" s="8">
        <v>4.2313117066290554E-3</v>
      </c>
      <c r="K33" s="9">
        <v>3</v>
      </c>
      <c r="L33" s="7">
        <v>0</v>
      </c>
      <c r="M33" s="7">
        <v>0</v>
      </c>
      <c r="N33" s="7">
        <v>0</v>
      </c>
      <c r="O33" s="7">
        <v>0</v>
      </c>
      <c r="P33" s="7">
        <f t="shared" si="0"/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f t="shared" ref="V33:AI33" si="24">3.67938659058487*V$3*$J33*0.164037854889589</f>
        <v>0.79679961618730688</v>
      </c>
      <c r="W33" s="7">
        <f t="shared" si="24"/>
        <v>1.1900917344336059</v>
      </c>
      <c r="X33" s="7">
        <f t="shared" si="24"/>
        <v>1.2564917024492148</v>
      </c>
      <c r="Y33" s="7">
        <f t="shared" si="24"/>
        <v>1.2973532212280512</v>
      </c>
      <c r="Z33" s="7">
        <f t="shared" si="24"/>
        <v>1.3611993443199828</v>
      </c>
      <c r="AA33" s="7">
        <f t="shared" si="24"/>
        <v>1.3816301037094008</v>
      </c>
      <c r="AB33" s="7">
        <f t="shared" si="24"/>
        <v>1.3663070341673371</v>
      </c>
      <c r="AC33" s="7">
        <f t="shared" si="24"/>
        <v>1.3816301037094008</v>
      </c>
      <c r="AD33" s="7">
        <f t="shared" si="24"/>
        <v>1.3816301037094008</v>
      </c>
      <c r="AE33" s="7">
        <f t="shared" si="24"/>
        <v>1.3688608790910144</v>
      </c>
      <c r="AF33" s="7">
        <f t="shared" si="24"/>
        <v>1.3637531892436603</v>
      </c>
      <c r="AG33" s="7">
        <f t="shared" si="24"/>
        <v>1.3816301037094008</v>
      </c>
      <c r="AH33" s="7">
        <f t="shared" si="24"/>
        <v>1.3969531732514646</v>
      </c>
      <c r="AI33" s="7">
        <f t="shared" si="24"/>
        <v>1.3892916384804328</v>
      </c>
      <c r="AJ33" s="7">
        <f t="shared" si="1"/>
        <v>18.313621947689676</v>
      </c>
      <c r="AK33" s="7">
        <v>6985</v>
      </c>
      <c r="AL33" s="7">
        <f t="shared" si="2"/>
        <v>6966.6863780523099</v>
      </c>
    </row>
    <row r="34" spans="1:38" x14ac:dyDescent="0.3">
      <c r="A34" s="10"/>
      <c r="B34" s="10"/>
      <c r="C34" s="10"/>
      <c r="D34" s="10"/>
      <c r="E34" s="10"/>
      <c r="F34" s="10"/>
      <c r="G34" s="10" t="s">
        <v>81</v>
      </c>
      <c r="H34" s="11">
        <v>0</v>
      </c>
      <c r="I34" s="8">
        <v>0</v>
      </c>
      <c r="J34" s="8">
        <v>5.6417489421720732E-3</v>
      </c>
      <c r="K34" s="9">
        <v>4</v>
      </c>
      <c r="L34" s="11">
        <v>0</v>
      </c>
      <c r="M34" s="11">
        <v>0</v>
      </c>
      <c r="N34" s="11">
        <v>0</v>
      </c>
      <c r="O34" s="11">
        <v>0</v>
      </c>
      <c r="P34" s="11">
        <f t="shared" si="0"/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f t="shared" ref="V34:AI34" si="25">3.67938659058487*V$3*$J34*0.356331168831168</f>
        <v>2.3077968903487043</v>
      </c>
      <c r="W34" s="11">
        <f t="shared" si="25"/>
        <v>3.4469017657131289</v>
      </c>
      <c r="X34" s="11">
        <f t="shared" si="25"/>
        <v>3.6392181732421873</v>
      </c>
      <c r="Y34" s="11">
        <f t="shared" si="25"/>
        <v>3.7575667317216079</v>
      </c>
      <c r="Z34" s="11">
        <f t="shared" si="25"/>
        <v>3.9424863543457032</v>
      </c>
      <c r="AA34" s="11">
        <f t="shared" si="25"/>
        <v>4.0016606335854137</v>
      </c>
      <c r="AB34" s="11">
        <f t="shared" si="25"/>
        <v>3.9572799241556305</v>
      </c>
      <c r="AC34" s="11">
        <f t="shared" si="25"/>
        <v>4.0016606335854137</v>
      </c>
      <c r="AD34" s="11">
        <f t="shared" si="25"/>
        <v>4.0016606335854137</v>
      </c>
      <c r="AE34" s="11">
        <f t="shared" si="25"/>
        <v>3.9646767090605946</v>
      </c>
      <c r="AF34" s="11">
        <f t="shared" si="25"/>
        <v>3.9498831392506673</v>
      </c>
      <c r="AG34" s="11">
        <f t="shared" si="25"/>
        <v>4.0016606335854137</v>
      </c>
      <c r="AH34" s="11">
        <f t="shared" si="25"/>
        <v>4.0460413430151965</v>
      </c>
      <c r="AI34" s="11">
        <f t="shared" si="25"/>
        <v>4.0238509883003051</v>
      </c>
      <c r="AJ34" s="11">
        <f t="shared" si="1"/>
        <v>53.042344553495383</v>
      </c>
      <c r="AK34" s="11">
        <v>6824</v>
      </c>
      <c r="AL34" s="11">
        <f t="shared" si="2"/>
        <v>6770.9576554465048</v>
      </c>
    </row>
    <row r="35" spans="1:38" x14ac:dyDescent="0.3">
      <c r="A35" s="6"/>
      <c r="B35" s="6"/>
      <c r="C35" s="6"/>
      <c r="D35" s="6"/>
      <c r="E35" s="6"/>
      <c r="F35" s="6"/>
      <c r="G35" s="6" t="s">
        <v>82</v>
      </c>
      <c r="H35" s="7">
        <v>0</v>
      </c>
      <c r="I35" s="8">
        <v>0</v>
      </c>
      <c r="J35" s="8">
        <v>7.052186177715092E-3</v>
      </c>
      <c r="K35" s="9">
        <v>5</v>
      </c>
      <c r="L35" s="7">
        <v>0</v>
      </c>
      <c r="M35" s="7">
        <v>0</v>
      </c>
      <c r="N35" s="7">
        <v>135</v>
      </c>
      <c r="O35" s="7">
        <v>0</v>
      </c>
      <c r="P35" s="7">
        <f t="shared" si="0"/>
        <v>135</v>
      </c>
      <c r="Q35" s="7">
        <v>126</v>
      </c>
      <c r="R35" s="7">
        <v>0</v>
      </c>
      <c r="S35" s="7">
        <v>0</v>
      </c>
      <c r="T35" s="7">
        <v>0</v>
      </c>
      <c r="U35" s="7">
        <v>0</v>
      </c>
      <c r="V35" s="7">
        <f t="shared" ref="V35:AI35" si="26">3.67938659058487*V$3*$J35*1.28204449152542</f>
        <v>10.379032728655645</v>
      </c>
      <c r="W35" s="7">
        <f t="shared" si="26"/>
        <v>15.502016831902342</v>
      </c>
      <c r="X35" s="7">
        <f t="shared" si="26"/>
        <v>16.36693622595698</v>
      </c>
      <c r="Y35" s="7">
        <f t="shared" si="26"/>
        <v>16.899194314605985</v>
      </c>
      <c r="Z35" s="7">
        <f t="shared" si="26"/>
        <v>17.730847578120059</v>
      </c>
      <c r="AA35" s="7">
        <f t="shared" si="26"/>
        <v>17.996976622444564</v>
      </c>
      <c r="AB35" s="7">
        <f t="shared" si="26"/>
        <v>17.797379839201188</v>
      </c>
      <c r="AC35" s="7">
        <f t="shared" si="26"/>
        <v>17.996976622444564</v>
      </c>
      <c r="AD35" s="7">
        <f t="shared" si="26"/>
        <v>17.996976622444564</v>
      </c>
      <c r="AE35" s="7">
        <f t="shared" si="26"/>
        <v>17.830645969741749</v>
      </c>
      <c r="AF35" s="7">
        <f t="shared" si="26"/>
        <v>17.764113708660627</v>
      </c>
      <c r="AG35" s="7">
        <f t="shared" si="26"/>
        <v>17.996976622444564</v>
      </c>
      <c r="AH35" s="7">
        <f t="shared" si="26"/>
        <v>18.196573405687943</v>
      </c>
      <c r="AI35" s="7">
        <f t="shared" si="26"/>
        <v>18.096775014066253</v>
      </c>
      <c r="AJ35" s="7">
        <f t="shared" si="1"/>
        <v>364.551422106377</v>
      </c>
      <c r="AK35" s="7">
        <v>6670</v>
      </c>
      <c r="AL35" s="7">
        <f t="shared" si="2"/>
        <v>6305.4485778936232</v>
      </c>
    </row>
    <row r="36" spans="1:38" x14ac:dyDescent="0.3">
      <c r="A36" s="10"/>
      <c r="B36" s="10"/>
      <c r="C36" s="10"/>
      <c r="D36" s="10"/>
      <c r="E36" s="10"/>
      <c r="F36" s="10"/>
      <c r="G36" s="10" t="s">
        <v>83</v>
      </c>
      <c r="H36" s="11">
        <v>0</v>
      </c>
      <c r="I36" s="8">
        <v>0</v>
      </c>
      <c r="J36" s="8">
        <v>2.8208744710860371E-3</v>
      </c>
      <c r="K36" s="9">
        <v>2</v>
      </c>
      <c r="L36" s="11">
        <v>0</v>
      </c>
      <c r="M36" s="11">
        <v>0</v>
      </c>
      <c r="N36" s="11">
        <v>0</v>
      </c>
      <c r="O36" s="11">
        <v>0</v>
      </c>
      <c r="P36" s="11">
        <f t="shared" si="0"/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f t="shared" ref="V36:AI36" si="27">3.67938659058487*V$3*$J36*0.814621409921671</f>
        <v>2.6379684421031615</v>
      </c>
      <c r="W36" s="11">
        <f t="shared" si="27"/>
        <v>3.9400426090386969</v>
      </c>
      <c r="X36" s="11">
        <f t="shared" si="27"/>
        <v>4.1598733125472931</v>
      </c>
      <c r="Y36" s="11">
        <f t="shared" si="27"/>
        <v>4.2951537454756599</v>
      </c>
      <c r="Z36" s="11">
        <f t="shared" si="27"/>
        <v>4.506529421926234</v>
      </c>
      <c r="AA36" s="11">
        <f t="shared" si="27"/>
        <v>4.5741696383904173</v>
      </c>
      <c r="AB36" s="11">
        <f t="shared" si="27"/>
        <v>4.52343947604228</v>
      </c>
      <c r="AC36" s="11">
        <f t="shared" si="27"/>
        <v>4.5741696383904173</v>
      </c>
      <c r="AD36" s="11">
        <f t="shared" si="27"/>
        <v>4.5741696383904173</v>
      </c>
      <c r="AE36" s="11">
        <f t="shared" si="27"/>
        <v>4.5318945031003031</v>
      </c>
      <c r="AF36" s="11">
        <f t="shared" si="27"/>
        <v>4.514984448984257</v>
      </c>
      <c r="AG36" s="11">
        <f t="shared" si="27"/>
        <v>4.5741696383904173</v>
      </c>
      <c r="AH36" s="11">
        <f t="shared" si="27"/>
        <v>4.6248998007385556</v>
      </c>
      <c r="AI36" s="11">
        <f t="shared" si="27"/>
        <v>4.5995347195644865</v>
      </c>
      <c r="AJ36" s="11">
        <f t="shared" si="1"/>
        <v>60.630999033082595</v>
      </c>
      <c r="AK36" s="11">
        <v>5651</v>
      </c>
      <c r="AL36" s="11">
        <f t="shared" si="2"/>
        <v>5590.3690009669172</v>
      </c>
    </row>
    <row r="37" spans="1:38" x14ac:dyDescent="0.3">
      <c r="A37" s="6"/>
      <c r="B37" s="6"/>
      <c r="C37" s="6"/>
      <c r="D37" s="6"/>
      <c r="E37" s="6"/>
      <c r="F37" s="6"/>
      <c r="G37" s="6" t="s">
        <v>84</v>
      </c>
      <c r="H37" s="7">
        <v>0</v>
      </c>
      <c r="I37" s="8">
        <v>0</v>
      </c>
      <c r="J37" s="8">
        <v>7.052186177715092E-3</v>
      </c>
      <c r="K37" s="9">
        <v>5</v>
      </c>
      <c r="L37" s="7">
        <v>0</v>
      </c>
      <c r="M37" s="7">
        <v>0</v>
      </c>
      <c r="N37" s="7">
        <v>0</v>
      </c>
      <c r="O37" s="7">
        <v>0</v>
      </c>
      <c r="P37" s="7">
        <f t="shared" ref="P37:P68" si="28">SUM(L37:O37)</f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f t="shared" ref="V37:AI37" si="29">3.67938659058487*V$3*$J37*0</f>
        <v>0</v>
      </c>
      <c r="W37" s="7">
        <f t="shared" si="29"/>
        <v>0</v>
      </c>
      <c r="X37" s="7">
        <f t="shared" si="29"/>
        <v>0</v>
      </c>
      <c r="Y37" s="7">
        <f t="shared" si="29"/>
        <v>0</v>
      </c>
      <c r="Z37" s="7">
        <f t="shared" si="29"/>
        <v>0</v>
      </c>
      <c r="AA37" s="7">
        <f t="shared" si="29"/>
        <v>0</v>
      </c>
      <c r="AB37" s="7">
        <f t="shared" si="29"/>
        <v>0</v>
      </c>
      <c r="AC37" s="7">
        <f t="shared" si="29"/>
        <v>0</v>
      </c>
      <c r="AD37" s="7">
        <f t="shared" si="29"/>
        <v>0</v>
      </c>
      <c r="AE37" s="7">
        <f t="shared" si="29"/>
        <v>0</v>
      </c>
      <c r="AF37" s="7">
        <f t="shared" si="29"/>
        <v>0</v>
      </c>
      <c r="AG37" s="7">
        <f t="shared" si="29"/>
        <v>0</v>
      </c>
      <c r="AH37" s="7">
        <f t="shared" si="29"/>
        <v>0</v>
      </c>
      <c r="AI37" s="7">
        <f t="shared" si="29"/>
        <v>0</v>
      </c>
      <c r="AJ37" s="7">
        <f t="shared" ref="AJ37:AJ68" si="30">SUM(Q37:AI37)</f>
        <v>0</v>
      </c>
      <c r="AK37" s="7">
        <v>5428</v>
      </c>
      <c r="AL37" s="7">
        <f t="shared" ref="AL37:AL68" si="31">AK37-AJ37</f>
        <v>5428</v>
      </c>
    </row>
    <row r="38" spans="1:38" x14ac:dyDescent="0.3">
      <c r="A38" s="10"/>
      <c r="B38" s="10"/>
      <c r="C38" s="10"/>
      <c r="D38" s="10"/>
      <c r="E38" s="10"/>
      <c r="F38" s="10"/>
      <c r="G38" s="10" t="s">
        <v>85</v>
      </c>
      <c r="H38" s="11">
        <v>1</v>
      </c>
      <c r="I38" s="8">
        <v>3.1847133757961789E-3</v>
      </c>
      <c r="J38" s="8">
        <v>9.8730606488011286E-3</v>
      </c>
      <c r="K38" s="9">
        <v>7</v>
      </c>
      <c r="L38" s="11">
        <v>0</v>
      </c>
      <c r="M38" s="11">
        <v>0</v>
      </c>
      <c r="N38" s="11">
        <v>1</v>
      </c>
      <c r="O38" s="11">
        <v>1</v>
      </c>
      <c r="P38" s="11">
        <f t="shared" si="28"/>
        <v>2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f t="shared" ref="V38:AI38" si="32">3.67938659058487*V$3*$J38*0.0162902628656053</f>
        <v>0.1846332491433946</v>
      </c>
      <c r="W38" s="11">
        <f t="shared" si="32"/>
        <v>0.27576632724622402</v>
      </c>
      <c r="X38" s="11">
        <f t="shared" si="32"/>
        <v>0.29115243134150687</v>
      </c>
      <c r="Y38" s="11">
        <f t="shared" si="32"/>
        <v>0.30062080309245015</v>
      </c>
      <c r="Z38" s="11">
        <f t="shared" si="32"/>
        <v>0.31541513395329912</v>
      </c>
      <c r="AA38" s="11">
        <f t="shared" si="32"/>
        <v>0.32014931982877082</v>
      </c>
      <c r="AB38" s="11">
        <f t="shared" si="32"/>
        <v>0.31659868042216704</v>
      </c>
      <c r="AC38" s="11">
        <f t="shared" si="32"/>
        <v>0.32014931982877082</v>
      </c>
      <c r="AD38" s="11">
        <f t="shared" si="32"/>
        <v>0.32014931982877082</v>
      </c>
      <c r="AE38" s="11">
        <f t="shared" si="32"/>
        <v>0.31719045365660098</v>
      </c>
      <c r="AF38" s="11">
        <f t="shared" si="32"/>
        <v>0.31600690718773311</v>
      </c>
      <c r="AG38" s="11">
        <f t="shared" si="32"/>
        <v>0.32014931982877082</v>
      </c>
      <c r="AH38" s="11">
        <f t="shared" si="32"/>
        <v>0.32369995923537448</v>
      </c>
      <c r="AI38" s="11">
        <f t="shared" si="32"/>
        <v>0.32192463953207262</v>
      </c>
      <c r="AJ38" s="11">
        <f t="shared" si="30"/>
        <v>4.2436058641259065</v>
      </c>
      <c r="AK38" s="11">
        <v>5402</v>
      </c>
      <c r="AL38" s="11">
        <f t="shared" si="31"/>
        <v>5397.756394135874</v>
      </c>
    </row>
    <row r="39" spans="1:38" x14ac:dyDescent="0.3">
      <c r="A39" s="6"/>
      <c r="B39" s="6"/>
      <c r="C39" s="6"/>
      <c r="D39" s="6"/>
      <c r="E39" s="6"/>
      <c r="F39" s="6"/>
      <c r="G39" s="6" t="s">
        <v>86</v>
      </c>
      <c r="H39" s="7">
        <v>0</v>
      </c>
      <c r="I39" s="8">
        <v>0</v>
      </c>
      <c r="J39" s="8">
        <v>0</v>
      </c>
      <c r="K39" s="9">
        <v>0</v>
      </c>
      <c r="L39" s="7">
        <v>0</v>
      </c>
      <c r="M39" s="7">
        <v>0</v>
      </c>
      <c r="N39" s="7">
        <v>0</v>
      </c>
      <c r="O39" s="7">
        <v>0</v>
      </c>
      <c r="P39" s="7">
        <f t="shared" si="28"/>
        <v>0</v>
      </c>
      <c r="Q39" s="7">
        <v>1</v>
      </c>
      <c r="R39" s="7">
        <v>0</v>
      </c>
      <c r="S39" s="7">
        <v>0</v>
      </c>
      <c r="T39" s="7">
        <v>0</v>
      </c>
      <c r="U39" s="7">
        <v>0</v>
      </c>
      <c r="V39" s="7">
        <f t="shared" ref="V39:AI39" si="33">3.67938659058487*V$3*$J39*0.336689547517629</f>
        <v>0</v>
      </c>
      <c r="W39" s="7">
        <f t="shared" si="33"/>
        <v>0</v>
      </c>
      <c r="X39" s="7">
        <f t="shared" si="33"/>
        <v>0</v>
      </c>
      <c r="Y39" s="7">
        <f t="shared" si="33"/>
        <v>0</v>
      </c>
      <c r="Z39" s="7">
        <f t="shared" si="33"/>
        <v>0</v>
      </c>
      <c r="AA39" s="7">
        <f t="shared" si="33"/>
        <v>0</v>
      </c>
      <c r="AB39" s="7">
        <f t="shared" si="33"/>
        <v>0</v>
      </c>
      <c r="AC39" s="7">
        <f t="shared" si="33"/>
        <v>0</v>
      </c>
      <c r="AD39" s="7">
        <f t="shared" si="33"/>
        <v>0</v>
      </c>
      <c r="AE39" s="7">
        <f t="shared" si="33"/>
        <v>0</v>
      </c>
      <c r="AF39" s="7">
        <f t="shared" si="33"/>
        <v>0</v>
      </c>
      <c r="AG39" s="7">
        <f t="shared" si="33"/>
        <v>0</v>
      </c>
      <c r="AH39" s="7">
        <f t="shared" si="33"/>
        <v>0</v>
      </c>
      <c r="AI39" s="7">
        <f t="shared" si="33"/>
        <v>0</v>
      </c>
      <c r="AJ39" s="7">
        <f t="shared" si="30"/>
        <v>1</v>
      </c>
      <c r="AK39" s="7">
        <v>5239</v>
      </c>
      <c r="AL39" s="7">
        <f t="shared" si="31"/>
        <v>5238</v>
      </c>
    </row>
    <row r="40" spans="1:38" x14ac:dyDescent="0.3">
      <c r="A40" s="10"/>
      <c r="B40" s="10"/>
      <c r="C40" s="10"/>
      <c r="D40" s="10"/>
      <c r="E40" s="10"/>
      <c r="F40" s="10"/>
      <c r="G40" s="10" t="s">
        <v>87</v>
      </c>
      <c r="H40" s="11">
        <v>0</v>
      </c>
      <c r="I40" s="8">
        <v>0</v>
      </c>
      <c r="J40" s="8">
        <v>5.6417489421720732E-3</v>
      </c>
      <c r="K40" s="9">
        <v>4</v>
      </c>
      <c r="L40" s="11">
        <v>0</v>
      </c>
      <c r="M40" s="11">
        <v>0</v>
      </c>
      <c r="N40" s="11">
        <v>0</v>
      </c>
      <c r="O40" s="11">
        <v>0</v>
      </c>
      <c r="P40" s="11">
        <f t="shared" si="28"/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f t="shared" ref="V40:AI40" si="34">3.67938659058487*V$3*$J40*0.22209026128266</f>
        <v>1.4383788430467006</v>
      </c>
      <c r="W40" s="11">
        <f t="shared" si="34"/>
        <v>2.1483478873710338</v>
      </c>
      <c r="X40" s="11">
        <f t="shared" si="34"/>
        <v>2.2682127909582586</v>
      </c>
      <c r="Y40" s="11">
        <f t="shared" si="34"/>
        <v>2.341975808550397</v>
      </c>
      <c r="Z40" s="11">
        <f t="shared" si="34"/>
        <v>2.4572305235381133</v>
      </c>
      <c r="AA40" s="11">
        <f t="shared" si="34"/>
        <v>2.4941120323341828</v>
      </c>
      <c r="AB40" s="11">
        <f t="shared" si="34"/>
        <v>2.4664509007371307</v>
      </c>
      <c r="AC40" s="11">
        <f t="shared" si="34"/>
        <v>2.4941120323341828</v>
      </c>
      <c r="AD40" s="11">
        <f t="shared" si="34"/>
        <v>2.4941120323341828</v>
      </c>
      <c r="AE40" s="11">
        <f t="shared" si="34"/>
        <v>2.4710610893366396</v>
      </c>
      <c r="AF40" s="11">
        <f t="shared" si="34"/>
        <v>2.4618407121376222</v>
      </c>
      <c r="AG40" s="11">
        <f t="shared" si="34"/>
        <v>2.4941120323341828</v>
      </c>
      <c r="AH40" s="11">
        <f t="shared" si="34"/>
        <v>2.5217731639312349</v>
      </c>
      <c r="AI40" s="11">
        <f t="shared" si="34"/>
        <v>2.5079425981327086</v>
      </c>
      <c r="AJ40" s="11">
        <f t="shared" si="30"/>
        <v>33.059662447076576</v>
      </c>
      <c r="AK40" s="11">
        <v>4826</v>
      </c>
      <c r="AL40" s="11">
        <f t="shared" si="31"/>
        <v>4792.9403375529237</v>
      </c>
    </row>
    <row r="41" spans="1:38" x14ac:dyDescent="0.3">
      <c r="A41" s="6"/>
      <c r="B41" s="6"/>
      <c r="C41" s="6"/>
      <c r="D41" s="6"/>
      <c r="E41" s="6"/>
      <c r="F41" s="6"/>
      <c r="G41" s="6" t="s">
        <v>88</v>
      </c>
      <c r="H41" s="7">
        <v>0</v>
      </c>
      <c r="I41" s="8">
        <v>0</v>
      </c>
      <c r="J41" s="8">
        <v>8.4626234132581107E-3</v>
      </c>
      <c r="K41" s="9">
        <v>6</v>
      </c>
      <c r="L41" s="7">
        <v>0</v>
      </c>
      <c r="M41" s="7">
        <v>0</v>
      </c>
      <c r="N41" s="7">
        <v>0</v>
      </c>
      <c r="O41" s="7">
        <v>0</v>
      </c>
      <c r="P41" s="7">
        <f t="shared" si="28"/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f t="shared" ref="V41:AI41" si="35">3.67938659058487*V$3*$J41*0.0646486486486486</f>
        <v>0.62805037855369539</v>
      </c>
      <c r="W41" s="7">
        <f t="shared" si="35"/>
        <v>0.93804960386545544</v>
      </c>
      <c r="X41" s="7">
        <f t="shared" si="35"/>
        <v>0.99038713541159651</v>
      </c>
      <c r="Y41" s="7">
        <f t="shared" si="35"/>
        <v>1.022594847132299</v>
      </c>
      <c r="Z41" s="7">
        <f t="shared" si="35"/>
        <v>1.0729193966958965</v>
      </c>
      <c r="AA41" s="7">
        <f t="shared" si="35"/>
        <v>1.0890232525562475</v>
      </c>
      <c r="AB41" s="7">
        <f t="shared" si="35"/>
        <v>1.076945360660984</v>
      </c>
      <c r="AC41" s="7">
        <f t="shared" si="35"/>
        <v>1.0890232525562475</v>
      </c>
      <c r="AD41" s="7">
        <f t="shared" si="35"/>
        <v>1.0890232525562475</v>
      </c>
      <c r="AE41" s="7">
        <f t="shared" si="35"/>
        <v>1.0789583426435279</v>
      </c>
      <c r="AF41" s="7">
        <f t="shared" si="35"/>
        <v>1.0749323786784404</v>
      </c>
      <c r="AG41" s="7">
        <f t="shared" si="35"/>
        <v>1.0890232525562475</v>
      </c>
      <c r="AH41" s="7">
        <f t="shared" si="35"/>
        <v>1.1011011444515109</v>
      </c>
      <c r="AI41" s="7">
        <f t="shared" si="35"/>
        <v>1.0950621985038793</v>
      </c>
      <c r="AJ41" s="7">
        <f t="shared" si="30"/>
        <v>14.435093796822272</v>
      </c>
      <c r="AK41" s="7">
        <v>4625</v>
      </c>
      <c r="AL41" s="7">
        <f t="shared" si="31"/>
        <v>4610.564906203178</v>
      </c>
    </row>
    <row r="42" spans="1:38" x14ac:dyDescent="0.3">
      <c r="A42" s="10"/>
      <c r="B42" s="10"/>
      <c r="C42" s="10"/>
      <c r="D42" s="10"/>
      <c r="E42" s="10"/>
      <c r="F42" s="10"/>
      <c r="G42" s="10" t="s">
        <v>89</v>
      </c>
      <c r="H42" s="11">
        <v>0</v>
      </c>
      <c r="I42" s="8">
        <v>0</v>
      </c>
      <c r="J42" s="8">
        <v>5.6417489421720732E-3</v>
      </c>
      <c r="K42" s="9">
        <v>4</v>
      </c>
      <c r="L42" s="11">
        <v>0</v>
      </c>
      <c r="M42" s="11">
        <v>0</v>
      </c>
      <c r="N42" s="11">
        <v>0</v>
      </c>
      <c r="O42" s="11">
        <v>0</v>
      </c>
      <c r="P42" s="11">
        <f t="shared" si="28"/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f t="shared" ref="V42:AI42" si="36">3.67938659058487*V$3*$J42*0.237383177570093</f>
        <v>1.5374241911375464</v>
      </c>
      <c r="W42" s="11">
        <f t="shared" si="36"/>
        <v>2.2962810034297969</v>
      </c>
      <c r="X42" s="11">
        <f t="shared" si="36"/>
        <v>2.4243996860245924</v>
      </c>
      <c r="Y42" s="11">
        <f t="shared" si="36"/>
        <v>2.5032419522367739</v>
      </c>
      <c r="Z42" s="11">
        <f t="shared" si="36"/>
        <v>2.6264329931933084</v>
      </c>
      <c r="AA42" s="11">
        <f t="shared" si="36"/>
        <v>2.6658541262993993</v>
      </c>
      <c r="AB42" s="11">
        <f t="shared" si="36"/>
        <v>2.636288276469831</v>
      </c>
      <c r="AC42" s="11">
        <f t="shared" si="36"/>
        <v>2.6658541262993993</v>
      </c>
      <c r="AD42" s="11">
        <f t="shared" si="36"/>
        <v>2.6658541262993993</v>
      </c>
      <c r="AE42" s="11">
        <f t="shared" si="36"/>
        <v>2.6412159181080925</v>
      </c>
      <c r="AF42" s="11">
        <f t="shared" si="36"/>
        <v>2.6313606348315699</v>
      </c>
      <c r="AG42" s="11">
        <f t="shared" si="36"/>
        <v>2.6658541262993993</v>
      </c>
      <c r="AH42" s="11">
        <f t="shared" si="36"/>
        <v>2.6954199761289677</v>
      </c>
      <c r="AI42" s="11">
        <f t="shared" si="36"/>
        <v>2.6806370512141835</v>
      </c>
      <c r="AJ42" s="11">
        <f t="shared" si="30"/>
        <v>35.336118187972268</v>
      </c>
      <c r="AK42" s="11">
        <v>4241</v>
      </c>
      <c r="AL42" s="11">
        <f t="shared" si="31"/>
        <v>4205.6638818120273</v>
      </c>
    </row>
    <row r="43" spans="1:38" x14ac:dyDescent="0.3">
      <c r="A43" s="6"/>
      <c r="B43" s="6"/>
      <c r="C43" s="6"/>
      <c r="D43" s="6"/>
      <c r="E43" s="6"/>
      <c r="F43" s="6"/>
      <c r="G43" s="6" t="s">
        <v>90</v>
      </c>
      <c r="H43" s="7">
        <v>0</v>
      </c>
      <c r="I43" s="8">
        <v>0</v>
      </c>
      <c r="J43" s="8">
        <v>4.2313117066290554E-3</v>
      </c>
      <c r="K43" s="9">
        <v>3</v>
      </c>
      <c r="L43" s="7">
        <v>0</v>
      </c>
      <c r="M43" s="7">
        <v>0</v>
      </c>
      <c r="N43" s="7">
        <v>0</v>
      </c>
      <c r="O43" s="7">
        <v>0</v>
      </c>
      <c r="P43" s="7">
        <f t="shared" si="28"/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f t="shared" ref="V43:AI43" si="37">3.67938659058487*V$3*$J43*0.0414653784219001</f>
        <v>0.20141447005552354</v>
      </c>
      <c r="W43" s="7">
        <f t="shared" si="37"/>
        <v>0.30083058668549356</v>
      </c>
      <c r="X43" s="7">
        <f t="shared" si="37"/>
        <v>0.31761512585678714</v>
      </c>
      <c r="Y43" s="7">
        <f t="shared" si="37"/>
        <v>0.32794407303912171</v>
      </c>
      <c r="Z43" s="7">
        <f t="shared" si="37"/>
        <v>0.34408305301151948</v>
      </c>
      <c r="AA43" s="7">
        <f t="shared" si="37"/>
        <v>0.34924752660268671</v>
      </c>
      <c r="AB43" s="7">
        <f t="shared" si="37"/>
        <v>0.3453741714093112</v>
      </c>
      <c r="AC43" s="7">
        <f t="shared" si="37"/>
        <v>0.34924752660268671</v>
      </c>
      <c r="AD43" s="7">
        <f t="shared" si="37"/>
        <v>0.34924752660268671</v>
      </c>
      <c r="AE43" s="7">
        <f t="shared" si="37"/>
        <v>0.34601973060820712</v>
      </c>
      <c r="AF43" s="7">
        <f t="shared" si="37"/>
        <v>0.34472861221041534</v>
      </c>
      <c r="AG43" s="7">
        <f t="shared" si="37"/>
        <v>0.34924752660268671</v>
      </c>
      <c r="AH43" s="7">
        <f t="shared" si="37"/>
        <v>0.35312088179606216</v>
      </c>
      <c r="AI43" s="7">
        <f t="shared" si="37"/>
        <v>0.35118420419937441</v>
      </c>
      <c r="AJ43" s="7">
        <f t="shared" si="30"/>
        <v>4.6293050152825632</v>
      </c>
      <c r="AK43" s="7">
        <v>4187</v>
      </c>
      <c r="AL43" s="7">
        <f t="shared" si="31"/>
        <v>4182.3706949847174</v>
      </c>
    </row>
    <row r="44" spans="1:38" x14ac:dyDescent="0.3">
      <c r="A44" s="10"/>
      <c r="B44" s="10"/>
      <c r="C44" s="10"/>
      <c r="D44" s="10"/>
      <c r="E44" s="10"/>
      <c r="F44" s="10"/>
      <c r="G44" s="10" t="s">
        <v>91</v>
      </c>
      <c r="H44" s="11">
        <v>0</v>
      </c>
      <c r="I44" s="8">
        <v>0</v>
      </c>
      <c r="J44" s="8">
        <v>5.6417489421720732E-3</v>
      </c>
      <c r="K44" s="9">
        <v>4</v>
      </c>
      <c r="L44" s="11">
        <v>0</v>
      </c>
      <c r="M44" s="11">
        <v>0</v>
      </c>
      <c r="N44" s="11">
        <v>0</v>
      </c>
      <c r="O44" s="11">
        <v>0</v>
      </c>
      <c r="P44" s="11">
        <f t="shared" si="28"/>
        <v>0</v>
      </c>
      <c r="Q44" s="11">
        <v>1</v>
      </c>
      <c r="R44" s="11">
        <v>0</v>
      </c>
      <c r="S44" s="11">
        <v>0</v>
      </c>
      <c r="T44" s="11">
        <v>0</v>
      </c>
      <c r="U44" s="11">
        <v>0</v>
      </c>
      <c r="V44" s="11">
        <f t="shared" ref="V44:AI44" si="38">3.67938659058487*V$3*$J44*0.0334620334620334</f>
        <v>0.21671855712687876</v>
      </c>
      <c r="W44" s="11">
        <f t="shared" si="38"/>
        <v>0.32368861417027411</v>
      </c>
      <c r="X44" s="11">
        <f t="shared" si="38"/>
        <v>0.34174849393084727</v>
      </c>
      <c r="Y44" s="11">
        <f t="shared" si="38"/>
        <v>0.35286226609120003</v>
      </c>
      <c r="Z44" s="11">
        <f t="shared" si="38"/>
        <v>0.37022753509175121</v>
      </c>
      <c r="AA44" s="11">
        <f t="shared" si="38"/>
        <v>0.37578442117192762</v>
      </c>
      <c r="AB44" s="11">
        <f t="shared" si="38"/>
        <v>0.37161675661179533</v>
      </c>
      <c r="AC44" s="11">
        <f t="shared" si="38"/>
        <v>0.37578442117192762</v>
      </c>
      <c r="AD44" s="11">
        <f t="shared" si="38"/>
        <v>0.37578442117192762</v>
      </c>
      <c r="AE44" s="11">
        <f t="shared" si="38"/>
        <v>0.37231136737181736</v>
      </c>
      <c r="AF44" s="11">
        <f t="shared" si="38"/>
        <v>0.3709221458517733</v>
      </c>
      <c r="AG44" s="11">
        <f t="shared" si="38"/>
        <v>0.37578442117192762</v>
      </c>
      <c r="AH44" s="11">
        <f t="shared" si="38"/>
        <v>0.37995208573205991</v>
      </c>
      <c r="AI44" s="11">
        <f t="shared" si="38"/>
        <v>0.37786825345199376</v>
      </c>
      <c r="AJ44" s="11">
        <f t="shared" si="30"/>
        <v>5.981053760118102</v>
      </c>
      <c r="AK44" s="11">
        <v>4068</v>
      </c>
      <c r="AL44" s="11">
        <f t="shared" si="31"/>
        <v>4062.0189462398821</v>
      </c>
    </row>
    <row r="45" spans="1:38" x14ac:dyDescent="0.3">
      <c r="A45" s="6"/>
      <c r="B45" s="6"/>
      <c r="C45" s="6"/>
      <c r="D45" s="6"/>
      <c r="E45" s="6"/>
      <c r="F45" s="6"/>
      <c r="G45" s="6" t="s">
        <v>92</v>
      </c>
      <c r="H45" s="7">
        <v>0</v>
      </c>
      <c r="I45" s="8">
        <v>0</v>
      </c>
      <c r="J45" s="8">
        <v>5.6417489421720732E-3</v>
      </c>
      <c r="K45" s="9">
        <v>4</v>
      </c>
      <c r="L45" s="7">
        <v>0</v>
      </c>
      <c r="M45" s="7">
        <v>0</v>
      </c>
      <c r="N45" s="7">
        <v>0</v>
      </c>
      <c r="O45" s="7">
        <v>0</v>
      </c>
      <c r="P45" s="7">
        <f t="shared" si="28"/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f t="shared" ref="V45:AI45" si="39">3.67938659058487*V$3*$J45*0.00391717963066592</f>
        <v>2.5369812582607201E-2</v>
      </c>
      <c r="W45" s="7">
        <f t="shared" si="39"/>
        <v>3.7892091870176142E-2</v>
      </c>
      <c r="X45" s="7">
        <f t="shared" si="39"/>
        <v>4.0006242918726738E-2</v>
      </c>
      <c r="Y45" s="7">
        <f t="shared" si="39"/>
        <v>4.1307258948604028E-2</v>
      </c>
      <c r="Z45" s="7">
        <f t="shared" si="39"/>
        <v>4.3340096495287299E-2</v>
      </c>
      <c r="AA45" s="7">
        <f t="shared" si="39"/>
        <v>4.3990604510225947E-2</v>
      </c>
      <c r="AB45" s="7">
        <f t="shared" si="39"/>
        <v>4.3502723499021963E-2</v>
      </c>
      <c r="AC45" s="7">
        <f t="shared" si="39"/>
        <v>4.3990604510225947E-2</v>
      </c>
      <c r="AD45" s="7">
        <f t="shared" si="39"/>
        <v>4.3990604510225947E-2</v>
      </c>
      <c r="AE45" s="7">
        <f t="shared" si="39"/>
        <v>4.3584037000889295E-2</v>
      </c>
      <c r="AF45" s="7">
        <f t="shared" si="39"/>
        <v>4.3421409997154631E-2</v>
      </c>
      <c r="AG45" s="7">
        <f t="shared" si="39"/>
        <v>4.3990604510225947E-2</v>
      </c>
      <c r="AH45" s="7">
        <f t="shared" si="39"/>
        <v>4.4478485521429939E-2</v>
      </c>
      <c r="AI45" s="7">
        <f t="shared" si="39"/>
        <v>4.4234545015827943E-2</v>
      </c>
      <c r="AJ45" s="7">
        <f t="shared" si="30"/>
        <v>0.58309912189062907</v>
      </c>
      <c r="AK45" s="7">
        <v>4032</v>
      </c>
      <c r="AL45" s="7">
        <f t="shared" si="31"/>
        <v>4031.4169008781096</v>
      </c>
    </row>
    <row r="46" spans="1:38" x14ac:dyDescent="0.3">
      <c r="A46" s="10"/>
      <c r="B46" s="10"/>
      <c r="C46" s="10"/>
      <c r="D46" s="10"/>
      <c r="E46" s="10"/>
      <c r="F46" s="10"/>
      <c r="G46" s="10" t="s">
        <v>93</v>
      </c>
      <c r="H46" s="11">
        <v>0</v>
      </c>
      <c r="I46" s="8">
        <v>0</v>
      </c>
      <c r="J46" s="8">
        <v>0</v>
      </c>
      <c r="K46" s="9">
        <v>0</v>
      </c>
      <c r="L46" s="11">
        <v>0</v>
      </c>
      <c r="M46" s="11">
        <v>0</v>
      </c>
      <c r="N46" s="11">
        <v>0</v>
      </c>
      <c r="O46" s="11">
        <v>0</v>
      </c>
      <c r="P46" s="11">
        <f t="shared" si="28"/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f t="shared" ref="V46:AI46" si="40">3.67938659058487*V$3*$J46*0.336689547517629</f>
        <v>0</v>
      </c>
      <c r="W46" s="11">
        <f t="shared" si="40"/>
        <v>0</v>
      </c>
      <c r="X46" s="11">
        <f t="shared" si="40"/>
        <v>0</v>
      </c>
      <c r="Y46" s="11">
        <f t="shared" si="40"/>
        <v>0</v>
      </c>
      <c r="Z46" s="11">
        <f t="shared" si="40"/>
        <v>0</v>
      </c>
      <c r="AA46" s="11">
        <f t="shared" si="40"/>
        <v>0</v>
      </c>
      <c r="AB46" s="11">
        <f t="shared" si="40"/>
        <v>0</v>
      </c>
      <c r="AC46" s="11">
        <f t="shared" si="40"/>
        <v>0</v>
      </c>
      <c r="AD46" s="11">
        <f t="shared" si="40"/>
        <v>0</v>
      </c>
      <c r="AE46" s="11">
        <f t="shared" si="40"/>
        <v>0</v>
      </c>
      <c r="AF46" s="11">
        <f t="shared" si="40"/>
        <v>0</v>
      </c>
      <c r="AG46" s="11">
        <f t="shared" si="40"/>
        <v>0</v>
      </c>
      <c r="AH46" s="11">
        <f t="shared" si="40"/>
        <v>0</v>
      </c>
      <c r="AI46" s="11">
        <f t="shared" si="40"/>
        <v>0</v>
      </c>
      <c r="AJ46" s="11">
        <f t="shared" si="30"/>
        <v>0</v>
      </c>
      <c r="AK46" s="11">
        <v>3804</v>
      </c>
      <c r="AL46" s="11">
        <f t="shared" si="31"/>
        <v>3804</v>
      </c>
    </row>
    <row r="47" spans="1:38" x14ac:dyDescent="0.3">
      <c r="A47" s="6"/>
      <c r="B47" s="6"/>
      <c r="C47" s="6"/>
      <c r="D47" s="6"/>
      <c r="E47" s="6"/>
      <c r="F47" s="6"/>
      <c r="G47" s="6" t="s">
        <v>94</v>
      </c>
      <c r="H47" s="7">
        <v>2</v>
      </c>
      <c r="I47" s="8">
        <v>6.369426751592357E-3</v>
      </c>
      <c r="J47" s="8">
        <v>7.052186177715092E-3</v>
      </c>
      <c r="K47" s="9">
        <v>5</v>
      </c>
      <c r="L47" s="7">
        <v>0</v>
      </c>
      <c r="M47" s="7">
        <v>12</v>
      </c>
      <c r="N47" s="7">
        <v>69</v>
      </c>
      <c r="O47" s="7">
        <v>66</v>
      </c>
      <c r="P47" s="7">
        <f t="shared" si="28"/>
        <v>147</v>
      </c>
      <c r="Q47" s="7">
        <v>15</v>
      </c>
      <c r="R47" s="7">
        <v>0</v>
      </c>
      <c r="S47" s="7">
        <v>0</v>
      </c>
      <c r="T47" s="7">
        <v>0</v>
      </c>
      <c r="U47" s="7">
        <v>0</v>
      </c>
      <c r="V47" s="7">
        <f t="shared" ref="V47:AI47" si="41">3.67938659058487*V$3*$J47*0.434012166093626</f>
        <v>3.5136272619998672</v>
      </c>
      <c r="W47" s="7">
        <f t="shared" si="41"/>
        <v>5.2479176413203144</v>
      </c>
      <c r="X47" s="7">
        <f t="shared" si="41"/>
        <v>5.5407199131536364</v>
      </c>
      <c r="Y47" s="7">
        <f t="shared" si="41"/>
        <v>5.7209059265895279</v>
      </c>
      <c r="Z47" s="7">
        <f t="shared" si="41"/>
        <v>6.0024465725831071</v>
      </c>
      <c r="AA47" s="7">
        <f t="shared" si="41"/>
        <v>6.0925395793010519</v>
      </c>
      <c r="AB47" s="7">
        <f t="shared" si="41"/>
        <v>6.0249698242625938</v>
      </c>
      <c r="AC47" s="7">
        <f t="shared" si="41"/>
        <v>6.0925395793010519</v>
      </c>
      <c r="AD47" s="7">
        <f t="shared" si="41"/>
        <v>6.0925395793010519</v>
      </c>
      <c r="AE47" s="7">
        <f t="shared" si="41"/>
        <v>6.0362314501023366</v>
      </c>
      <c r="AF47" s="7">
        <f t="shared" si="41"/>
        <v>6.01370819842285</v>
      </c>
      <c r="AG47" s="7">
        <f t="shared" si="41"/>
        <v>6.0925395793010519</v>
      </c>
      <c r="AH47" s="7">
        <f t="shared" si="41"/>
        <v>6.160109334339511</v>
      </c>
      <c r="AI47" s="7">
        <f t="shared" si="41"/>
        <v>6.1263244568202815</v>
      </c>
      <c r="AJ47" s="7">
        <f t="shared" si="30"/>
        <v>95.757118896798232</v>
      </c>
      <c r="AK47" s="7">
        <v>3781</v>
      </c>
      <c r="AL47" s="7">
        <f t="shared" si="31"/>
        <v>3685.2428811032019</v>
      </c>
    </row>
    <row r="48" spans="1:38" x14ac:dyDescent="0.3">
      <c r="A48" s="10"/>
      <c r="B48" s="10"/>
      <c r="C48" s="10"/>
      <c r="D48" s="10"/>
      <c r="E48" s="10"/>
      <c r="F48" s="10"/>
      <c r="G48" s="10" t="s">
        <v>95</v>
      </c>
      <c r="H48" s="11">
        <v>0</v>
      </c>
      <c r="I48" s="8">
        <v>0</v>
      </c>
      <c r="J48" s="8">
        <v>2.8208744710860371E-3</v>
      </c>
      <c r="K48" s="9">
        <v>2</v>
      </c>
      <c r="L48" s="11">
        <v>0</v>
      </c>
      <c r="M48" s="11">
        <v>0</v>
      </c>
      <c r="N48" s="11">
        <v>0</v>
      </c>
      <c r="O48" s="11">
        <v>0</v>
      </c>
      <c r="P48" s="11">
        <f t="shared" si="28"/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f t="shared" ref="V48:AI48" si="42">3.67938659058487*V$3*$J48*0.21824423737126</f>
        <v>0.70673493704469803</v>
      </c>
      <c r="W48" s="11">
        <f t="shared" si="42"/>
        <v>1.0555720534065043</v>
      </c>
      <c r="X48" s="11">
        <f t="shared" si="42"/>
        <v>1.1144666314935623</v>
      </c>
      <c r="Y48" s="11">
        <f t="shared" si="42"/>
        <v>1.1507094487779057</v>
      </c>
      <c r="Z48" s="11">
        <f t="shared" si="42"/>
        <v>1.2073388507846925</v>
      </c>
      <c r="AA48" s="11">
        <f t="shared" si="42"/>
        <v>1.2254602594268642</v>
      </c>
      <c r="AB48" s="11">
        <f t="shared" si="42"/>
        <v>1.2118692029452354</v>
      </c>
      <c r="AC48" s="11">
        <f t="shared" si="42"/>
        <v>1.2254602594268642</v>
      </c>
      <c r="AD48" s="11">
        <f t="shared" si="42"/>
        <v>1.2254602594268642</v>
      </c>
      <c r="AE48" s="11">
        <f t="shared" si="42"/>
        <v>1.214134379025507</v>
      </c>
      <c r="AF48" s="11">
        <f t="shared" si="42"/>
        <v>1.2096040268649639</v>
      </c>
      <c r="AG48" s="11">
        <f t="shared" si="42"/>
        <v>1.2254602594268642</v>
      </c>
      <c r="AH48" s="11">
        <f t="shared" si="42"/>
        <v>1.2390513159084933</v>
      </c>
      <c r="AI48" s="11">
        <f t="shared" si="42"/>
        <v>1.2322557876676787</v>
      </c>
      <c r="AJ48" s="11">
        <f t="shared" si="30"/>
        <v>16.243577671626699</v>
      </c>
      <c r="AK48" s="11">
        <v>3724</v>
      </c>
      <c r="AL48" s="11">
        <f t="shared" si="31"/>
        <v>3707.7564223283734</v>
      </c>
    </row>
    <row r="49" spans="1:38" x14ac:dyDescent="0.3">
      <c r="A49" s="6"/>
      <c r="B49" s="6"/>
      <c r="C49" s="6"/>
      <c r="D49" s="6"/>
      <c r="E49" s="6"/>
      <c r="F49" s="6"/>
      <c r="G49" s="6" t="s">
        <v>96</v>
      </c>
      <c r="H49" s="7">
        <v>0</v>
      </c>
      <c r="I49" s="8">
        <v>0</v>
      </c>
      <c r="J49" s="8">
        <v>1.4104372355430181E-3</v>
      </c>
      <c r="K49" s="9">
        <v>1</v>
      </c>
      <c r="L49" s="7">
        <v>0</v>
      </c>
      <c r="M49" s="7">
        <v>0</v>
      </c>
      <c r="N49" s="7">
        <v>0</v>
      </c>
      <c r="O49" s="7">
        <v>0</v>
      </c>
      <c r="P49" s="7">
        <f t="shared" si="28"/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f t="shared" ref="V49:AI49" si="43">3.67938659058487*V$3*$J49*1.13568376068376</f>
        <v>1.8388283713172136</v>
      </c>
      <c r="W49" s="7">
        <f t="shared" si="43"/>
        <v>2.7464551956212229</v>
      </c>
      <c r="X49" s="7">
        <f t="shared" si="43"/>
        <v>2.8996908932309906</v>
      </c>
      <c r="Y49" s="7">
        <f t="shared" si="43"/>
        <v>2.9939897840677712</v>
      </c>
      <c r="Z49" s="7">
        <f t="shared" si="43"/>
        <v>3.1413318010002405</v>
      </c>
      <c r="AA49" s="7">
        <f t="shared" si="43"/>
        <v>3.1884812464186298</v>
      </c>
      <c r="AB49" s="7">
        <f t="shared" si="43"/>
        <v>3.1531191623548378</v>
      </c>
      <c r="AC49" s="7">
        <f t="shared" si="43"/>
        <v>3.1884812464186298</v>
      </c>
      <c r="AD49" s="7">
        <f t="shared" si="43"/>
        <v>3.1884812464186298</v>
      </c>
      <c r="AE49" s="7">
        <f t="shared" si="43"/>
        <v>3.1590128430321363</v>
      </c>
      <c r="AF49" s="7">
        <f t="shared" si="43"/>
        <v>3.1472254816775389</v>
      </c>
      <c r="AG49" s="7">
        <f t="shared" si="43"/>
        <v>3.1884812464186298</v>
      </c>
      <c r="AH49" s="7">
        <f t="shared" si="43"/>
        <v>3.2238433304824228</v>
      </c>
      <c r="AI49" s="7">
        <f t="shared" si="43"/>
        <v>3.2061622884505265</v>
      </c>
      <c r="AJ49" s="7">
        <f t="shared" si="30"/>
        <v>42.263584136909422</v>
      </c>
      <c r="AK49" s="7">
        <v>3685</v>
      </c>
      <c r="AL49" s="7">
        <f t="shared" si="31"/>
        <v>3642.7364158630908</v>
      </c>
    </row>
    <row r="50" spans="1:38" x14ac:dyDescent="0.3">
      <c r="A50" s="10"/>
      <c r="B50" s="10"/>
      <c r="C50" s="10"/>
      <c r="D50" s="10"/>
      <c r="E50" s="10"/>
      <c r="F50" s="10"/>
      <c r="G50" s="10" t="s">
        <v>97</v>
      </c>
      <c r="H50" s="11">
        <v>1</v>
      </c>
      <c r="I50" s="8">
        <v>3.1847133757961789E-3</v>
      </c>
      <c r="J50" s="8">
        <v>4.2313117066290554E-3</v>
      </c>
      <c r="K50" s="9">
        <v>3</v>
      </c>
      <c r="L50" s="11">
        <v>0</v>
      </c>
      <c r="M50" s="11">
        <v>0</v>
      </c>
      <c r="N50" s="11">
        <v>0</v>
      </c>
      <c r="O50" s="11">
        <v>0</v>
      </c>
      <c r="P50" s="11">
        <f t="shared" si="28"/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f t="shared" ref="V50:AI50" si="44">3.67938659058487*V$3*$J50*0.127142857142857</f>
        <v>0.61758537284320303</v>
      </c>
      <c r="W50" s="11">
        <f t="shared" si="44"/>
        <v>0.92241917866965595</v>
      </c>
      <c r="X50" s="11">
        <f t="shared" si="44"/>
        <v>0.97388462640658935</v>
      </c>
      <c r="Y50" s="11">
        <f t="shared" si="44"/>
        <v>1.0055556711677793</v>
      </c>
      <c r="Z50" s="11">
        <f t="shared" si="44"/>
        <v>1.0550416786071386</v>
      </c>
      <c r="AA50" s="11">
        <f t="shared" si="44"/>
        <v>1.0708772009877334</v>
      </c>
      <c r="AB50" s="11">
        <f t="shared" si="44"/>
        <v>1.0590005592022873</v>
      </c>
      <c r="AC50" s="11">
        <f t="shared" si="44"/>
        <v>1.0708772009877334</v>
      </c>
      <c r="AD50" s="11">
        <f t="shared" si="44"/>
        <v>1.0708772009877334</v>
      </c>
      <c r="AE50" s="11">
        <f t="shared" si="44"/>
        <v>1.0609799994998617</v>
      </c>
      <c r="AF50" s="11">
        <f t="shared" si="44"/>
        <v>1.057021118904713</v>
      </c>
      <c r="AG50" s="11">
        <f t="shared" si="44"/>
        <v>1.0708772009877334</v>
      </c>
      <c r="AH50" s="11">
        <f t="shared" si="44"/>
        <v>1.0827538427731798</v>
      </c>
      <c r="AI50" s="11">
        <f t="shared" si="44"/>
        <v>1.0768155218804567</v>
      </c>
      <c r="AJ50" s="11">
        <f t="shared" si="30"/>
        <v>14.194566373905799</v>
      </c>
      <c r="AK50" s="11">
        <v>3540</v>
      </c>
      <c r="AL50" s="11">
        <f t="shared" si="31"/>
        <v>3525.8054336260943</v>
      </c>
    </row>
    <row r="51" spans="1:38" x14ac:dyDescent="0.3">
      <c r="A51" s="6"/>
      <c r="B51" s="6"/>
      <c r="C51" s="6"/>
      <c r="D51" s="6"/>
      <c r="E51" s="6"/>
      <c r="F51" s="6"/>
      <c r="G51" s="6" t="s">
        <v>98</v>
      </c>
      <c r="H51" s="7">
        <v>0</v>
      </c>
      <c r="I51" s="8">
        <v>0</v>
      </c>
      <c r="J51" s="8">
        <v>8.4626234132581107E-3</v>
      </c>
      <c r="K51" s="9">
        <v>6</v>
      </c>
      <c r="L51" s="7">
        <v>0</v>
      </c>
      <c r="M51" s="7">
        <v>0</v>
      </c>
      <c r="N51" s="7">
        <v>0</v>
      </c>
      <c r="O51" s="7">
        <v>0</v>
      </c>
      <c r="P51" s="7">
        <f t="shared" si="28"/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f t="shared" ref="V51:AI51" si="45">3.67938659058487*V$3*$J51*0.172724541904475</f>
        <v>1.6779888860196119</v>
      </c>
      <c r="W51" s="7">
        <f t="shared" si="45"/>
        <v>2.5062269900164722</v>
      </c>
      <c r="X51" s="7">
        <f t="shared" si="45"/>
        <v>2.6460593971847728</v>
      </c>
      <c r="Y51" s="7">
        <f t="shared" si="45"/>
        <v>2.7321101092883429</v>
      </c>
      <c r="Z51" s="7">
        <f t="shared" si="45"/>
        <v>2.8665643469501707</v>
      </c>
      <c r="AA51" s="7">
        <f t="shared" si="45"/>
        <v>2.9095897030019553</v>
      </c>
      <c r="AB51" s="7">
        <f t="shared" si="45"/>
        <v>2.8773206859631166</v>
      </c>
      <c r="AC51" s="7">
        <f t="shared" si="45"/>
        <v>2.9095897030019553</v>
      </c>
      <c r="AD51" s="7">
        <f t="shared" si="45"/>
        <v>2.9095897030019553</v>
      </c>
      <c r="AE51" s="7">
        <f t="shared" si="45"/>
        <v>2.8826988554695898</v>
      </c>
      <c r="AF51" s="7">
        <f t="shared" si="45"/>
        <v>2.8719425164566439</v>
      </c>
      <c r="AG51" s="7">
        <f t="shared" si="45"/>
        <v>2.9095897030019553</v>
      </c>
      <c r="AH51" s="7">
        <f t="shared" si="45"/>
        <v>2.9418587200407944</v>
      </c>
      <c r="AI51" s="7">
        <f t="shared" si="45"/>
        <v>2.9257242115213749</v>
      </c>
      <c r="AJ51" s="7">
        <f t="shared" si="30"/>
        <v>38.566853530918713</v>
      </c>
      <c r="AK51" s="7">
        <v>3329</v>
      </c>
      <c r="AL51" s="7">
        <f t="shared" si="31"/>
        <v>3290.4331464690813</v>
      </c>
    </row>
    <row r="52" spans="1:38" x14ac:dyDescent="0.3">
      <c r="A52" s="10"/>
      <c r="B52" s="10"/>
      <c r="C52" s="10"/>
      <c r="D52" s="10"/>
      <c r="E52" s="10"/>
      <c r="F52" s="10"/>
      <c r="G52" s="10" t="s">
        <v>99</v>
      </c>
      <c r="H52" s="11">
        <v>1</v>
      </c>
      <c r="I52" s="8">
        <v>3.1847133757961789E-3</v>
      </c>
      <c r="J52" s="8">
        <v>5.6417489421720732E-3</v>
      </c>
      <c r="K52" s="9">
        <v>3</v>
      </c>
      <c r="L52" s="11">
        <v>0</v>
      </c>
      <c r="M52" s="11">
        <v>0</v>
      </c>
      <c r="N52" s="11">
        <v>0</v>
      </c>
      <c r="O52" s="11">
        <v>0</v>
      </c>
      <c r="P52" s="11">
        <f t="shared" si="28"/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f t="shared" ref="V52:AI52" si="46">3.67938659058487*V$3*$J52*0.462195121951219</f>
        <v>2.9934301528327714</v>
      </c>
      <c r="W52" s="11">
        <f t="shared" si="46"/>
        <v>4.4709565744233064</v>
      </c>
      <c r="X52" s="11">
        <f t="shared" si="46"/>
        <v>4.7204090871593705</v>
      </c>
      <c r="Y52" s="11">
        <f t="shared" si="46"/>
        <v>4.8739183257661791</v>
      </c>
      <c r="Z52" s="11">
        <f t="shared" si="46"/>
        <v>5.1137765110893181</v>
      </c>
      <c r="AA52" s="11">
        <f t="shared" si="46"/>
        <v>5.1905311303927224</v>
      </c>
      <c r="AB52" s="11">
        <f t="shared" si="46"/>
        <v>5.1329651659151683</v>
      </c>
      <c r="AC52" s="11">
        <f t="shared" si="46"/>
        <v>5.1905311303927224</v>
      </c>
      <c r="AD52" s="11">
        <f t="shared" si="46"/>
        <v>5.1905311303927224</v>
      </c>
      <c r="AE52" s="11">
        <f t="shared" si="46"/>
        <v>5.1425594933280943</v>
      </c>
      <c r="AF52" s="11">
        <f t="shared" si="46"/>
        <v>5.1233708385022432</v>
      </c>
      <c r="AG52" s="11">
        <f t="shared" si="46"/>
        <v>5.1905311303927224</v>
      </c>
      <c r="AH52" s="11">
        <f t="shared" si="46"/>
        <v>5.2480970948702756</v>
      </c>
      <c r="AI52" s="11">
        <f t="shared" si="46"/>
        <v>5.2193141126314995</v>
      </c>
      <c r="AJ52" s="11">
        <f t="shared" si="30"/>
        <v>68.800921878089113</v>
      </c>
      <c r="AK52" s="11">
        <v>3311</v>
      </c>
      <c r="AL52" s="11">
        <f t="shared" si="31"/>
        <v>3242.199078121911</v>
      </c>
    </row>
    <row r="53" spans="1:38" x14ac:dyDescent="0.3">
      <c r="A53" s="6"/>
      <c r="B53" s="6"/>
      <c r="C53" s="6"/>
      <c r="D53" s="6"/>
      <c r="E53" s="6"/>
      <c r="F53" s="6"/>
      <c r="G53" s="6" t="s">
        <v>100</v>
      </c>
      <c r="H53" s="7">
        <v>0</v>
      </c>
      <c r="I53" s="8">
        <v>0</v>
      </c>
      <c r="J53" s="8">
        <v>8.4626234132581107E-3</v>
      </c>
      <c r="K53" s="9">
        <v>6</v>
      </c>
      <c r="L53" s="7">
        <v>0</v>
      </c>
      <c r="M53" s="7">
        <v>0</v>
      </c>
      <c r="N53" s="7">
        <v>0</v>
      </c>
      <c r="O53" s="7">
        <v>0</v>
      </c>
      <c r="P53" s="7">
        <f t="shared" si="28"/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f t="shared" ref="V53:AI53" si="47">3.67938659058487*V$3*$J53*0.233620965164589</f>
        <v>2.2695870474744551</v>
      </c>
      <c r="W53" s="7">
        <f t="shared" si="47"/>
        <v>3.3898319362919751</v>
      </c>
      <c r="X53" s="7">
        <f t="shared" si="47"/>
        <v>3.5789641902481795</v>
      </c>
      <c r="Y53" s="7">
        <f t="shared" si="47"/>
        <v>3.6953532696058442</v>
      </c>
      <c r="Z53" s="7">
        <f t="shared" si="47"/>
        <v>3.8772112061021953</v>
      </c>
      <c r="AA53" s="7">
        <f t="shared" si="47"/>
        <v>3.935405745781027</v>
      </c>
      <c r="AB53" s="7">
        <f t="shared" si="47"/>
        <v>3.8917598410219023</v>
      </c>
      <c r="AC53" s="7">
        <f t="shared" si="47"/>
        <v>3.935405745781027</v>
      </c>
      <c r="AD53" s="7">
        <f t="shared" si="47"/>
        <v>3.935405745781027</v>
      </c>
      <c r="AE53" s="7">
        <f t="shared" si="47"/>
        <v>3.8990341584817565</v>
      </c>
      <c r="AF53" s="7">
        <f t="shared" si="47"/>
        <v>3.884485523562049</v>
      </c>
      <c r="AG53" s="7">
        <f t="shared" si="47"/>
        <v>3.935405745781027</v>
      </c>
      <c r="AH53" s="7">
        <f t="shared" si="47"/>
        <v>3.9790516505401512</v>
      </c>
      <c r="AI53" s="7">
        <f t="shared" si="47"/>
        <v>3.9572286981605891</v>
      </c>
      <c r="AJ53" s="7">
        <f t="shared" si="30"/>
        <v>52.164130504613198</v>
      </c>
      <c r="AK53" s="7">
        <v>3129</v>
      </c>
      <c r="AL53" s="7">
        <f t="shared" si="31"/>
        <v>3076.8358694953868</v>
      </c>
    </row>
    <row r="54" spans="1:38" x14ac:dyDescent="0.3">
      <c r="A54" s="10"/>
      <c r="B54" s="10"/>
      <c r="C54" s="10"/>
      <c r="D54" s="10"/>
      <c r="E54" s="10"/>
      <c r="F54" s="10"/>
      <c r="G54" s="10" t="s">
        <v>101</v>
      </c>
      <c r="H54" s="11">
        <v>0</v>
      </c>
      <c r="I54" s="8">
        <v>0</v>
      </c>
      <c r="J54" s="8">
        <v>2.8208744710860371E-3</v>
      </c>
      <c r="K54" s="9">
        <v>3</v>
      </c>
      <c r="L54" s="11">
        <v>0</v>
      </c>
      <c r="M54" s="11">
        <v>23</v>
      </c>
      <c r="N54" s="11">
        <v>26</v>
      </c>
      <c r="O54" s="11">
        <v>42</v>
      </c>
      <c r="P54" s="11">
        <f t="shared" si="28"/>
        <v>91</v>
      </c>
      <c r="Q54" s="11">
        <v>70</v>
      </c>
      <c r="R54" s="11">
        <v>87</v>
      </c>
      <c r="S54" s="11">
        <v>12</v>
      </c>
      <c r="T54" s="11">
        <v>0</v>
      </c>
      <c r="U54" s="11">
        <v>0</v>
      </c>
      <c r="V54" s="11">
        <f t="shared" ref="V54:AI54" si="48">3.67938659058487*V$3*$J54*0.720794792737238</f>
        <v>2.3341320192602759</v>
      </c>
      <c r="W54" s="11">
        <f t="shared" si="48"/>
        <v>3.4862356441515665</v>
      </c>
      <c r="X54" s="11">
        <f t="shared" si="48"/>
        <v>3.6807466457565892</v>
      </c>
      <c r="Y54" s="11">
        <f t="shared" si="48"/>
        <v>3.8004457236673721</v>
      </c>
      <c r="Z54" s="11">
        <f t="shared" si="48"/>
        <v>3.9874755329029714</v>
      </c>
      <c r="AA54" s="11">
        <f t="shared" si="48"/>
        <v>4.0473250718583635</v>
      </c>
      <c r="AB54" s="11">
        <f t="shared" si="48"/>
        <v>4.002437917641819</v>
      </c>
      <c r="AC54" s="11">
        <f t="shared" si="48"/>
        <v>4.0473250718583635</v>
      </c>
      <c r="AD54" s="11">
        <f t="shared" si="48"/>
        <v>4.0473250718583635</v>
      </c>
      <c r="AE54" s="11">
        <f t="shared" si="48"/>
        <v>4.0099191100112437</v>
      </c>
      <c r="AF54" s="11">
        <f t="shared" si="48"/>
        <v>3.9949567252723956</v>
      </c>
      <c r="AG54" s="11">
        <f t="shared" si="48"/>
        <v>4.0473250718583635</v>
      </c>
      <c r="AH54" s="11">
        <f t="shared" si="48"/>
        <v>4.0922122260749072</v>
      </c>
      <c r="AI54" s="11">
        <f t="shared" si="48"/>
        <v>4.0697686489666349</v>
      </c>
      <c r="AJ54" s="11">
        <f t="shared" si="30"/>
        <v>222.6476304811392</v>
      </c>
      <c r="AK54" s="11">
        <v>3114</v>
      </c>
      <c r="AL54" s="11">
        <f t="shared" si="31"/>
        <v>2891.352369518861</v>
      </c>
    </row>
    <row r="55" spans="1:38" x14ac:dyDescent="0.3">
      <c r="A55" s="6"/>
      <c r="B55" s="6"/>
      <c r="C55" s="6"/>
      <c r="D55" s="6"/>
      <c r="E55" s="6"/>
      <c r="F55" s="6"/>
      <c r="G55" s="6" t="s">
        <v>102</v>
      </c>
      <c r="H55" s="7">
        <v>0</v>
      </c>
      <c r="I55" s="8">
        <v>0</v>
      </c>
      <c r="J55" s="8">
        <v>5.6417489421720732E-3</v>
      </c>
      <c r="K55" s="9">
        <v>4</v>
      </c>
      <c r="L55" s="7">
        <v>0</v>
      </c>
      <c r="M55" s="7">
        <v>0</v>
      </c>
      <c r="N55" s="7">
        <v>0</v>
      </c>
      <c r="O55" s="7">
        <v>0</v>
      </c>
      <c r="P55" s="7">
        <f t="shared" si="28"/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f t="shared" ref="V55:AI55" si="49">3.67938659058487*V$3*$J55*0.15729606759831</f>
        <v>1.0187359608708679</v>
      </c>
      <c r="W55" s="7">
        <f t="shared" si="49"/>
        <v>1.5215735825827708</v>
      </c>
      <c r="X55" s="7">
        <f t="shared" si="49"/>
        <v>1.6064682459886763</v>
      </c>
      <c r="Y55" s="7">
        <f t="shared" si="49"/>
        <v>1.6587111157769259</v>
      </c>
      <c r="Z55" s="7">
        <f t="shared" si="49"/>
        <v>1.7403405998210659</v>
      </c>
      <c r="AA55" s="7">
        <f t="shared" si="49"/>
        <v>1.7664620347151909</v>
      </c>
      <c r="AB55" s="7">
        <f t="shared" si="49"/>
        <v>1.7468709585445972</v>
      </c>
      <c r="AC55" s="7">
        <f t="shared" si="49"/>
        <v>1.7664620347151909</v>
      </c>
      <c r="AD55" s="7">
        <f t="shared" si="49"/>
        <v>1.7664620347151909</v>
      </c>
      <c r="AE55" s="7">
        <f t="shared" si="49"/>
        <v>1.7501361379063629</v>
      </c>
      <c r="AF55" s="7">
        <f t="shared" si="49"/>
        <v>1.7436057791828317</v>
      </c>
      <c r="AG55" s="7">
        <f t="shared" si="49"/>
        <v>1.7664620347151909</v>
      </c>
      <c r="AH55" s="7">
        <f t="shared" si="49"/>
        <v>1.7860531108857847</v>
      </c>
      <c r="AI55" s="7">
        <f t="shared" si="49"/>
        <v>1.7762575728004877</v>
      </c>
      <c r="AJ55" s="7">
        <f t="shared" si="30"/>
        <v>23.414601203221139</v>
      </c>
      <c r="AK55" s="7">
        <v>3077</v>
      </c>
      <c r="AL55" s="7">
        <f t="shared" si="31"/>
        <v>3053.5853987967789</v>
      </c>
    </row>
    <row r="56" spans="1:38" x14ac:dyDescent="0.3">
      <c r="A56" s="10"/>
      <c r="B56" s="10"/>
      <c r="C56" s="10"/>
      <c r="D56" s="10"/>
      <c r="E56" s="10"/>
      <c r="F56" s="10"/>
      <c r="G56" s="10" t="s">
        <v>103</v>
      </c>
      <c r="H56" s="11">
        <v>0</v>
      </c>
      <c r="I56" s="8">
        <v>0</v>
      </c>
      <c r="J56" s="8">
        <v>0</v>
      </c>
      <c r="K56" s="9">
        <v>0</v>
      </c>
      <c r="L56" s="11">
        <v>0</v>
      </c>
      <c r="M56" s="11">
        <v>0</v>
      </c>
      <c r="N56" s="11">
        <v>0</v>
      </c>
      <c r="O56" s="11">
        <v>0</v>
      </c>
      <c r="P56" s="11">
        <f t="shared" si="28"/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f t="shared" ref="V56:AI56" si="50">3.67938659058487*V$3*$J56*0.336689547517629</f>
        <v>0</v>
      </c>
      <c r="W56" s="11">
        <f t="shared" si="50"/>
        <v>0</v>
      </c>
      <c r="X56" s="11">
        <f t="shared" si="50"/>
        <v>0</v>
      </c>
      <c r="Y56" s="11">
        <f t="shared" si="50"/>
        <v>0</v>
      </c>
      <c r="Z56" s="11">
        <f t="shared" si="50"/>
        <v>0</v>
      </c>
      <c r="AA56" s="11">
        <f t="shared" si="50"/>
        <v>0</v>
      </c>
      <c r="AB56" s="11">
        <f t="shared" si="50"/>
        <v>0</v>
      </c>
      <c r="AC56" s="11">
        <f t="shared" si="50"/>
        <v>0</v>
      </c>
      <c r="AD56" s="11">
        <f t="shared" si="50"/>
        <v>0</v>
      </c>
      <c r="AE56" s="11">
        <f t="shared" si="50"/>
        <v>0</v>
      </c>
      <c r="AF56" s="11">
        <f t="shared" si="50"/>
        <v>0</v>
      </c>
      <c r="AG56" s="11">
        <f t="shared" si="50"/>
        <v>0</v>
      </c>
      <c r="AH56" s="11">
        <f t="shared" si="50"/>
        <v>0</v>
      </c>
      <c r="AI56" s="11">
        <f t="shared" si="50"/>
        <v>0</v>
      </c>
      <c r="AJ56" s="11">
        <f t="shared" si="30"/>
        <v>0</v>
      </c>
      <c r="AK56" s="11">
        <v>3071</v>
      </c>
      <c r="AL56" s="11">
        <f t="shared" si="31"/>
        <v>3071</v>
      </c>
    </row>
    <row r="57" spans="1:38" x14ac:dyDescent="0.3">
      <c r="A57" s="6"/>
      <c r="B57" s="6"/>
      <c r="C57" s="6"/>
      <c r="D57" s="6"/>
      <c r="E57" s="6"/>
      <c r="F57" s="6"/>
      <c r="G57" s="6" t="s">
        <v>104</v>
      </c>
      <c r="H57" s="7">
        <v>3</v>
      </c>
      <c r="I57" s="8">
        <v>9.5541401273885346E-3</v>
      </c>
      <c r="J57" s="8">
        <v>4.2313117066290554E-3</v>
      </c>
      <c r="K57" s="9">
        <v>3</v>
      </c>
      <c r="L57" s="7">
        <v>0</v>
      </c>
      <c r="M57" s="7">
        <v>0</v>
      </c>
      <c r="N57" s="7">
        <v>0</v>
      </c>
      <c r="O57" s="7">
        <v>0</v>
      </c>
      <c r="P57" s="7">
        <f t="shared" si="28"/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f t="shared" ref="V57:AI57" si="51">3.67938659058487*V$3*$J57*0.228265524625267</f>
        <v>1.1087799370006912</v>
      </c>
      <c r="W57" s="7">
        <f t="shared" si="51"/>
        <v>1.6560623418023146</v>
      </c>
      <c r="X57" s="7">
        <f t="shared" si="51"/>
        <v>1.7484606698857053</v>
      </c>
      <c r="Y57" s="7">
        <f t="shared" si="51"/>
        <v>1.8053211794754844</v>
      </c>
      <c r="Z57" s="7">
        <f t="shared" si="51"/>
        <v>1.8941657257095144</v>
      </c>
      <c r="AA57" s="7">
        <f t="shared" si="51"/>
        <v>1.9225959805044037</v>
      </c>
      <c r="AB57" s="7">
        <f t="shared" si="51"/>
        <v>1.9012732894082365</v>
      </c>
      <c r="AC57" s="7">
        <f t="shared" si="51"/>
        <v>1.9225959805044037</v>
      </c>
      <c r="AD57" s="7">
        <f t="shared" si="51"/>
        <v>1.9225959805044037</v>
      </c>
      <c r="AE57" s="7">
        <f t="shared" si="51"/>
        <v>1.9048270712575976</v>
      </c>
      <c r="AF57" s="7">
        <f t="shared" si="51"/>
        <v>1.8977195075588755</v>
      </c>
      <c r="AG57" s="7">
        <f t="shared" si="51"/>
        <v>1.9225959805044037</v>
      </c>
      <c r="AH57" s="7">
        <f t="shared" si="51"/>
        <v>1.943918671600571</v>
      </c>
      <c r="AI57" s="7">
        <f t="shared" si="51"/>
        <v>1.9332573260524872</v>
      </c>
      <c r="AJ57" s="7">
        <f t="shared" si="30"/>
        <v>25.484169641769093</v>
      </c>
      <c r="AK57" s="7">
        <v>2859</v>
      </c>
      <c r="AL57" s="7">
        <f t="shared" si="31"/>
        <v>2833.5158303582307</v>
      </c>
    </row>
    <row r="58" spans="1:38" x14ac:dyDescent="0.3">
      <c r="A58" s="10"/>
      <c r="B58" s="10"/>
      <c r="C58" s="10"/>
      <c r="D58" s="10"/>
      <c r="E58" s="10"/>
      <c r="F58" s="10"/>
      <c r="G58" s="10" t="s">
        <v>105</v>
      </c>
      <c r="H58" s="11">
        <v>0</v>
      </c>
      <c r="I58" s="8">
        <v>0</v>
      </c>
      <c r="J58" s="8">
        <v>5.6417489421720732E-3</v>
      </c>
      <c r="K58" s="9">
        <v>4</v>
      </c>
      <c r="L58" s="11">
        <v>0</v>
      </c>
      <c r="M58" s="11">
        <v>20</v>
      </c>
      <c r="N58" s="11">
        <v>12</v>
      </c>
      <c r="O58" s="11">
        <v>31</v>
      </c>
      <c r="P58" s="11">
        <f t="shared" si="28"/>
        <v>63</v>
      </c>
      <c r="Q58" s="11">
        <v>92</v>
      </c>
      <c r="R58" s="11">
        <v>111</v>
      </c>
      <c r="S58" s="11">
        <v>74</v>
      </c>
      <c r="T58" s="11">
        <v>72</v>
      </c>
      <c r="U58" s="11">
        <v>82</v>
      </c>
      <c r="V58" s="11">
        <f>U58*(224/224)*(V$3/U$3)*0.635670177987649</f>
        <v>22.681988610371011</v>
      </c>
      <c r="W58" s="11">
        <f>U58*(230/224)*(W$3/U$3)*0.635670177987649</f>
        <v>34.785020879973167</v>
      </c>
      <c r="X58" s="11">
        <f>U58*(231/224)*(X$3/U$3)*0.635670177987649</f>
        <v>36.885493497394201</v>
      </c>
      <c r="Y58" s="11">
        <f>U58*(231/224)*(Y$3/U$3)*0.635670177987649</f>
        <v>38.085021741211897</v>
      </c>
      <c r="Z58" s="11">
        <f>U58*(217/224)*(Z$3/U$3)*0.635670177987649</f>
        <v>37.537509796590555</v>
      </c>
      <c r="AA58" s="11">
        <f>U58*(212/224)*(AA$3/U$3)*0.635670177987649</f>
        <v>37.22302308981044</v>
      </c>
      <c r="AB58" s="11">
        <f>U58*(152/224)*(AB$3/U$3)*0.635670177987649</f>
        <v>26.392217745469473</v>
      </c>
      <c r="AC58" s="11">
        <f>U58*(145/224)*(AC$3/U$3)*0.635670177987649</f>
        <v>25.459143151049588</v>
      </c>
      <c r="AD58" s="11">
        <f>U58*(118/224)*(AD$3/U$3)*0.635670177987649</f>
        <v>20.718475116026564</v>
      </c>
      <c r="AE58" s="11">
        <f>U58*(0/224)*(AE$3/U$3)*0.635670177987649</f>
        <v>0</v>
      </c>
      <c r="AF58" s="11">
        <f>U58*(0/224)*(AF$3/U$3)*0.635670177987649</f>
        <v>0</v>
      </c>
      <c r="AG58" s="11">
        <f>U58*(0/224)*(AG$3/U$3)*0.635670177987649</f>
        <v>0</v>
      </c>
      <c r="AH58" s="11">
        <f>U58*(0/224)*(AH$3/U$3)*0.635670177987649</f>
        <v>0</v>
      </c>
      <c r="AI58" s="11">
        <f>U58*(0/224)*(AI$3/U$3)*0.635670177987649</f>
        <v>0</v>
      </c>
      <c r="AJ58" s="11">
        <f t="shared" si="30"/>
        <v>710.76789362789691</v>
      </c>
      <c r="AK58" s="11">
        <v>2753</v>
      </c>
      <c r="AL58" s="11">
        <f t="shared" si="31"/>
        <v>2042.2321063721031</v>
      </c>
    </row>
    <row r="59" spans="1:38" x14ac:dyDescent="0.3">
      <c r="A59" s="6"/>
      <c r="B59" s="6"/>
      <c r="C59" s="6"/>
      <c r="D59" s="6"/>
      <c r="E59" s="6"/>
      <c r="F59" s="6"/>
      <c r="G59" s="6" t="s">
        <v>106</v>
      </c>
      <c r="H59" s="7">
        <v>0</v>
      </c>
      <c r="I59" s="8">
        <v>0</v>
      </c>
      <c r="J59" s="8">
        <v>2.8208744710860371E-3</v>
      </c>
      <c r="K59" s="9">
        <v>2</v>
      </c>
      <c r="L59" s="7">
        <v>0</v>
      </c>
      <c r="M59" s="7">
        <v>0</v>
      </c>
      <c r="N59" s="7">
        <v>0</v>
      </c>
      <c r="O59" s="7">
        <v>0</v>
      </c>
      <c r="P59" s="7">
        <f t="shared" si="28"/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f t="shared" ref="V59:AI59" si="52">3.67938659058487*V$3*$J59*0.0785288270377733</f>
        <v>0.25429796589920506</v>
      </c>
      <c r="W59" s="7">
        <f t="shared" si="52"/>
        <v>0.37981683368278707</v>
      </c>
      <c r="X59" s="7">
        <f t="shared" si="52"/>
        <v>0.40100833084105414</v>
      </c>
      <c r="Y59" s="7">
        <f t="shared" si="52"/>
        <v>0.41404925216921845</v>
      </c>
      <c r="Z59" s="7">
        <f t="shared" si="52"/>
        <v>0.43442569174447532</v>
      </c>
      <c r="AA59" s="7">
        <f t="shared" si="52"/>
        <v>0.4409461524085575</v>
      </c>
      <c r="AB59" s="7">
        <f t="shared" si="52"/>
        <v>0.43605580691049584</v>
      </c>
      <c r="AC59" s="7">
        <f t="shared" si="52"/>
        <v>0.4409461524085575</v>
      </c>
      <c r="AD59" s="7">
        <f t="shared" si="52"/>
        <v>0.4409461524085575</v>
      </c>
      <c r="AE59" s="7">
        <f t="shared" si="52"/>
        <v>0.43687086449350615</v>
      </c>
      <c r="AF59" s="7">
        <f t="shared" si="52"/>
        <v>0.43524074932748563</v>
      </c>
      <c r="AG59" s="7">
        <f t="shared" si="52"/>
        <v>0.4409461524085575</v>
      </c>
      <c r="AH59" s="7">
        <f t="shared" si="52"/>
        <v>0.44583649790661917</v>
      </c>
      <c r="AI59" s="7">
        <f t="shared" si="52"/>
        <v>0.44339132515758833</v>
      </c>
      <c r="AJ59" s="7">
        <f t="shared" si="30"/>
        <v>5.8447779277666649</v>
      </c>
      <c r="AK59" s="7">
        <v>2523</v>
      </c>
      <c r="AL59" s="7">
        <f t="shared" si="31"/>
        <v>2517.1552220722333</v>
      </c>
    </row>
    <row r="60" spans="1:38" x14ac:dyDescent="0.3">
      <c r="A60" s="10"/>
      <c r="B60" s="10"/>
      <c r="C60" s="10"/>
      <c r="D60" s="10"/>
      <c r="E60" s="10"/>
      <c r="F60" s="10"/>
      <c r="G60" s="10" t="s">
        <v>107</v>
      </c>
      <c r="H60" s="11">
        <v>0</v>
      </c>
      <c r="I60" s="8">
        <v>0</v>
      </c>
      <c r="J60" s="8">
        <v>4.2313117066290554E-3</v>
      </c>
      <c r="K60" s="9">
        <v>3</v>
      </c>
      <c r="L60" s="11">
        <v>0</v>
      </c>
      <c r="M60" s="11">
        <v>0</v>
      </c>
      <c r="N60" s="11">
        <v>0</v>
      </c>
      <c r="O60" s="11">
        <v>0</v>
      </c>
      <c r="P60" s="11">
        <f t="shared" si="28"/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f t="shared" ref="V60:AI60" si="53">3.67938659058487*V$3*$J60*0.0284824210057854</f>
        <v>0.13835088334196124</v>
      </c>
      <c r="W60" s="11">
        <f t="shared" si="53"/>
        <v>0.20663946037613445</v>
      </c>
      <c r="X60" s="11">
        <f t="shared" si="53"/>
        <v>0.2181687006546312</v>
      </c>
      <c r="Y60" s="11">
        <f t="shared" si="53"/>
        <v>0.22526361774909079</v>
      </c>
      <c r="Z60" s="11">
        <f t="shared" si="53"/>
        <v>0.23634942570918385</v>
      </c>
      <c r="AA60" s="11">
        <f t="shared" si="53"/>
        <v>0.23989688425641359</v>
      </c>
      <c r="AB60" s="11">
        <f t="shared" si="53"/>
        <v>0.23723629034599125</v>
      </c>
      <c r="AC60" s="11">
        <f t="shared" si="53"/>
        <v>0.23989688425641359</v>
      </c>
      <c r="AD60" s="11">
        <f t="shared" si="53"/>
        <v>0.23989688425641359</v>
      </c>
      <c r="AE60" s="11">
        <f t="shared" si="53"/>
        <v>0.23767972266439497</v>
      </c>
      <c r="AF60" s="11">
        <f t="shared" si="53"/>
        <v>0.23679285802758757</v>
      </c>
      <c r="AG60" s="11">
        <f t="shared" si="53"/>
        <v>0.23989688425641359</v>
      </c>
      <c r="AH60" s="11">
        <f t="shared" si="53"/>
        <v>0.24255747816683595</v>
      </c>
      <c r="AI60" s="11">
        <f t="shared" si="53"/>
        <v>0.24122718121162479</v>
      </c>
      <c r="AJ60" s="11">
        <f t="shared" si="30"/>
        <v>3.1798531552730904</v>
      </c>
      <c r="AK60" s="11">
        <v>2247</v>
      </c>
      <c r="AL60" s="11">
        <f t="shared" si="31"/>
        <v>2243.8201468447269</v>
      </c>
    </row>
    <row r="61" spans="1:38" x14ac:dyDescent="0.3">
      <c r="A61" s="6"/>
      <c r="B61" s="6"/>
      <c r="C61" s="6"/>
      <c r="D61" s="6"/>
      <c r="E61" s="6"/>
      <c r="F61" s="6"/>
      <c r="G61" s="6" t="s">
        <v>108</v>
      </c>
      <c r="H61" s="7">
        <v>0</v>
      </c>
      <c r="I61" s="8">
        <v>0</v>
      </c>
      <c r="J61" s="8">
        <v>2.8208744710860371E-3</v>
      </c>
      <c r="K61" s="9">
        <v>2</v>
      </c>
      <c r="L61" s="7">
        <v>0</v>
      </c>
      <c r="M61" s="7">
        <v>20</v>
      </c>
      <c r="N61" s="7">
        <v>20</v>
      </c>
      <c r="O61" s="7">
        <v>35</v>
      </c>
      <c r="P61" s="7">
        <f t="shared" si="28"/>
        <v>75</v>
      </c>
      <c r="Q61" s="7">
        <v>67</v>
      </c>
      <c r="R61" s="7">
        <v>58</v>
      </c>
      <c r="S61" s="7">
        <v>14</v>
      </c>
      <c r="T61" s="7">
        <v>10</v>
      </c>
      <c r="U61" s="7">
        <v>17</v>
      </c>
      <c r="V61" s="7">
        <f>U61*(126/110)*(V$3/U$3)*0.45952109464082</f>
        <v>3.8937464895757397</v>
      </c>
      <c r="W61" s="7">
        <f>U61*(112/110)*(W$3/U$3)*0.45952109464082</f>
        <v>5.1694753964167939</v>
      </c>
      <c r="X61" s="7">
        <f>U61*(112/110)*(X$3/U$3)*0.45952109464082</f>
        <v>5.4579010623112936</v>
      </c>
      <c r="Y61" s="7">
        <f>U61*(127/110)*(Y$3/U$3)*0.45952109464082</f>
        <v>6.3901340181488715</v>
      </c>
      <c r="Z61" s="7">
        <f>U61*(112/110)*(Z$3/U$3)*0.45952109464082</f>
        <v>5.9127261508372335</v>
      </c>
      <c r="AA61" s="7">
        <f>U61*(110/110)*(AA$3/U$3)*0.45952109464082</f>
        <v>5.8943033576173249</v>
      </c>
      <c r="AB61" s="7">
        <f>U61*(85/110)*(AB$3/U$3)*0.45952109464082</f>
        <v>4.5041748477171542</v>
      </c>
      <c r="AC61" s="7">
        <f>U61*(77/110)*(AC$3/U$3)*0.45952109464082</f>
        <v>4.1260123503321271</v>
      </c>
      <c r="AD61" s="7">
        <f>U61*(68/110)*(AD$3/U$3)*0.45952109464082</f>
        <v>3.643751166527073</v>
      </c>
      <c r="AE61" s="7">
        <f>U61*(60/110)*(AE$3/U$3)*0.45952109464082</f>
        <v>3.1853603760876008</v>
      </c>
      <c r="AF61" s="7">
        <f>U61*(59/110)*(AF$3/U$3)*0.45952109464082</f>
        <v>3.1205834579917902</v>
      </c>
      <c r="AG61" s="7">
        <f>U61*(50/110)*(AG$3/U$3)*0.45952109464082</f>
        <v>2.6792287989169656</v>
      </c>
      <c r="AH61" s="7">
        <f>U61*(51/110)*(AH$3/U$3)*0.45952109464082</f>
        <v>2.7631218411603178</v>
      </c>
      <c r="AI61" s="7">
        <f>U61*(99/110)*(AI$3/U$3)*0.45952109464082</f>
        <v>5.3342900626422223</v>
      </c>
      <c r="AJ61" s="7">
        <f t="shared" si="30"/>
        <v>228.07480937628253</v>
      </c>
      <c r="AK61" s="7">
        <v>2186</v>
      </c>
      <c r="AL61" s="7">
        <f t="shared" si="31"/>
        <v>1957.9251906237175</v>
      </c>
    </row>
    <row r="62" spans="1:38" x14ac:dyDescent="0.3">
      <c r="A62" s="10"/>
      <c r="B62" s="10"/>
      <c r="C62" s="10"/>
      <c r="D62" s="10"/>
      <c r="E62" s="10"/>
      <c r="F62" s="10"/>
      <c r="G62" s="10" t="s">
        <v>109</v>
      </c>
      <c r="H62" s="11">
        <v>0</v>
      </c>
      <c r="I62" s="8">
        <v>0</v>
      </c>
      <c r="J62" s="8">
        <v>4.2313117066290554E-3</v>
      </c>
      <c r="K62" s="9">
        <v>3</v>
      </c>
      <c r="L62" s="11">
        <v>0</v>
      </c>
      <c r="M62" s="11">
        <v>0</v>
      </c>
      <c r="N62" s="11">
        <v>0</v>
      </c>
      <c r="O62" s="11">
        <v>0</v>
      </c>
      <c r="P62" s="11">
        <f t="shared" si="28"/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f t="shared" ref="V62:AI62" si="54">3.67938659058487*V$3*$J62*0.325703385789222</f>
        <v>1.5820758748792283</v>
      </c>
      <c r="W62" s="11">
        <f t="shared" si="54"/>
        <v>2.3629723003003864</v>
      </c>
      <c r="X62" s="11">
        <f t="shared" si="54"/>
        <v>2.494811956540322</v>
      </c>
      <c r="Y62" s="11">
        <f t="shared" si="54"/>
        <v>2.5759440526879747</v>
      </c>
      <c r="Z62" s="11">
        <f t="shared" si="54"/>
        <v>2.7027129529186822</v>
      </c>
      <c r="AA62" s="11">
        <f t="shared" si="54"/>
        <v>2.7432790009925085</v>
      </c>
      <c r="AB62" s="11">
        <f t="shared" si="54"/>
        <v>2.7128544649371382</v>
      </c>
      <c r="AC62" s="11">
        <f t="shared" si="54"/>
        <v>2.7432790009925085</v>
      </c>
      <c r="AD62" s="11">
        <f t="shared" si="54"/>
        <v>2.7432790009925085</v>
      </c>
      <c r="AE62" s="11">
        <f t="shared" si="54"/>
        <v>2.7179252209463667</v>
      </c>
      <c r="AF62" s="11">
        <f t="shared" si="54"/>
        <v>2.7077837089279106</v>
      </c>
      <c r="AG62" s="11">
        <f t="shared" si="54"/>
        <v>2.7432790009925085</v>
      </c>
      <c r="AH62" s="11">
        <f t="shared" si="54"/>
        <v>2.7737035370478784</v>
      </c>
      <c r="AI62" s="11">
        <f t="shared" si="54"/>
        <v>2.7584912690201935</v>
      </c>
      <c r="AJ62" s="11">
        <f t="shared" si="30"/>
        <v>36.36239134217611</v>
      </c>
      <c r="AK62" s="11">
        <v>2097</v>
      </c>
      <c r="AL62" s="11">
        <f t="shared" si="31"/>
        <v>2060.6376086578239</v>
      </c>
    </row>
    <row r="63" spans="1:38" x14ac:dyDescent="0.3">
      <c r="A63" s="6"/>
      <c r="B63" s="6"/>
      <c r="C63" s="6"/>
      <c r="D63" s="6"/>
      <c r="E63" s="6"/>
      <c r="F63" s="6"/>
      <c r="G63" s="6" t="s">
        <v>110</v>
      </c>
      <c r="H63" s="7">
        <v>0</v>
      </c>
      <c r="I63" s="8">
        <v>0</v>
      </c>
      <c r="J63" s="8">
        <v>5.6417489421720732E-3</v>
      </c>
      <c r="K63" s="9">
        <v>4</v>
      </c>
      <c r="L63" s="7">
        <v>0</v>
      </c>
      <c r="M63" s="7">
        <v>0</v>
      </c>
      <c r="N63" s="7">
        <v>0</v>
      </c>
      <c r="O63" s="7">
        <v>0</v>
      </c>
      <c r="P63" s="7">
        <f t="shared" si="28"/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f t="shared" ref="V63:AI63" si="55">3.67938659058487*V$3*$J63*0.331576425491135</f>
        <v>2.1474715393868395</v>
      </c>
      <c r="W63" s="7">
        <f t="shared" si="55"/>
        <v>3.2074414658790618</v>
      </c>
      <c r="X63" s="7">
        <f t="shared" si="55"/>
        <v>3.3863974274946314</v>
      </c>
      <c r="Y63" s="7">
        <f t="shared" si="55"/>
        <v>3.4965241731042127</v>
      </c>
      <c r="Z63" s="7">
        <f t="shared" si="55"/>
        <v>3.6685972131191837</v>
      </c>
      <c r="AA63" s="7">
        <f t="shared" si="55"/>
        <v>3.7236605859239749</v>
      </c>
      <c r="AB63" s="7">
        <f t="shared" si="55"/>
        <v>3.6823630563203813</v>
      </c>
      <c r="AC63" s="7">
        <f t="shared" si="55"/>
        <v>3.7236605859239749</v>
      </c>
      <c r="AD63" s="7">
        <f t="shared" si="55"/>
        <v>3.7236605859239749</v>
      </c>
      <c r="AE63" s="7">
        <f t="shared" si="55"/>
        <v>3.6892459779209807</v>
      </c>
      <c r="AF63" s="7">
        <f t="shared" si="55"/>
        <v>3.6754801347197832</v>
      </c>
      <c r="AG63" s="7">
        <f t="shared" si="55"/>
        <v>3.7236605859239749</v>
      </c>
      <c r="AH63" s="7">
        <f t="shared" si="55"/>
        <v>3.764958115527568</v>
      </c>
      <c r="AI63" s="7">
        <f t="shared" si="55"/>
        <v>3.7443093507257714</v>
      </c>
      <c r="AJ63" s="7">
        <f t="shared" si="30"/>
        <v>49.357430797894317</v>
      </c>
      <c r="AK63" s="7">
        <v>2087</v>
      </c>
      <c r="AL63" s="7">
        <f t="shared" si="31"/>
        <v>2037.6425692021057</v>
      </c>
    </row>
    <row r="64" spans="1:38" x14ac:dyDescent="0.3">
      <c r="A64" s="10"/>
      <c r="B64" s="10"/>
      <c r="C64" s="10"/>
      <c r="D64" s="10"/>
      <c r="E64" s="10"/>
      <c r="F64" s="10"/>
      <c r="G64" s="10" t="s">
        <v>111</v>
      </c>
      <c r="H64" s="11">
        <v>0</v>
      </c>
      <c r="I64" s="8">
        <v>0</v>
      </c>
      <c r="J64" s="8">
        <v>2.8208744710860371E-3</v>
      </c>
      <c r="K64" s="9">
        <v>2</v>
      </c>
      <c r="L64" s="11">
        <v>0</v>
      </c>
      <c r="M64" s="11">
        <v>0</v>
      </c>
      <c r="N64" s="11">
        <v>0</v>
      </c>
      <c r="O64" s="11">
        <v>0</v>
      </c>
      <c r="P64" s="11">
        <f t="shared" si="28"/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f t="shared" ref="V64:AI64" si="56">3.67938659058487*V$3*$J64*0.0734893848666303</f>
        <v>0.23797886447200672</v>
      </c>
      <c r="W64" s="11">
        <f t="shared" si="56"/>
        <v>0.35544279116652294</v>
      </c>
      <c r="X64" s="11">
        <f t="shared" si="56"/>
        <v>0.37527436320585678</v>
      </c>
      <c r="Y64" s="11">
        <f t="shared" si="56"/>
        <v>0.38747840753775453</v>
      </c>
      <c r="Z64" s="11">
        <f t="shared" si="56"/>
        <v>0.40654722680634481</v>
      </c>
      <c r="AA64" s="11">
        <f t="shared" si="56"/>
        <v>0.41264924897229371</v>
      </c>
      <c r="AB64" s="11">
        <f t="shared" si="56"/>
        <v>0.40807273234783203</v>
      </c>
      <c r="AC64" s="11">
        <f t="shared" si="56"/>
        <v>0.41264924897229371</v>
      </c>
      <c r="AD64" s="11">
        <f t="shared" si="56"/>
        <v>0.41264924897229371</v>
      </c>
      <c r="AE64" s="11">
        <f t="shared" si="56"/>
        <v>0.40883548511857565</v>
      </c>
      <c r="AF64" s="11">
        <f t="shared" si="56"/>
        <v>0.40730997957708848</v>
      </c>
      <c r="AG64" s="11">
        <f t="shared" si="56"/>
        <v>0.41264924897229371</v>
      </c>
      <c r="AH64" s="11">
        <f t="shared" si="56"/>
        <v>0.41722576559675545</v>
      </c>
      <c r="AI64" s="11">
        <f t="shared" si="56"/>
        <v>0.41493750728452461</v>
      </c>
      <c r="AJ64" s="11">
        <f t="shared" si="30"/>
        <v>5.4697001190024359</v>
      </c>
      <c r="AK64" s="11">
        <v>1837</v>
      </c>
      <c r="AL64" s="11">
        <f t="shared" si="31"/>
        <v>1831.5302998809975</v>
      </c>
    </row>
    <row r="65" spans="1:38" x14ac:dyDescent="0.3">
      <c r="A65" s="6"/>
      <c r="B65" s="6"/>
      <c r="C65" s="6"/>
      <c r="D65" s="6"/>
      <c r="E65" s="6"/>
      <c r="F65" s="6"/>
      <c r="G65" s="6" t="s">
        <v>112</v>
      </c>
      <c r="H65" s="7">
        <v>0</v>
      </c>
      <c r="I65" s="8">
        <v>0</v>
      </c>
      <c r="J65" s="8">
        <v>4.2313117066290554E-3</v>
      </c>
      <c r="K65" s="9">
        <v>3</v>
      </c>
      <c r="L65" s="7">
        <v>0</v>
      </c>
      <c r="M65" s="7">
        <v>0</v>
      </c>
      <c r="N65" s="7">
        <v>0</v>
      </c>
      <c r="O65" s="7">
        <v>0</v>
      </c>
      <c r="P65" s="7">
        <f t="shared" si="28"/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f t="shared" ref="V65:AI65" si="57">3.67938659058487*V$3*$J65*0.188194038573933</f>
        <v>0.91413617792905022</v>
      </c>
      <c r="W65" s="7">
        <f t="shared" si="57"/>
        <v>1.3653444195991584</v>
      </c>
      <c r="X65" s="7">
        <f t="shared" si="57"/>
        <v>1.4415224344265791</v>
      </c>
      <c r="Y65" s="7">
        <f t="shared" si="57"/>
        <v>1.4884012127819153</v>
      </c>
      <c r="Z65" s="7">
        <f t="shared" si="57"/>
        <v>1.5616493039621278</v>
      </c>
      <c r="AA65" s="7">
        <f t="shared" si="57"/>
        <v>1.5850886931397954</v>
      </c>
      <c r="AB65" s="7">
        <f t="shared" si="57"/>
        <v>1.5675091512565444</v>
      </c>
      <c r="AC65" s="7">
        <f t="shared" si="57"/>
        <v>1.5850886931397954</v>
      </c>
      <c r="AD65" s="7">
        <f t="shared" si="57"/>
        <v>1.5850886931397954</v>
      </c>
      <c r="AE65" s="7">
        <f t="shared" si="57"/>
        <v>1.5704390749037529</v>
      </c>
      <c r="AF65" s="7">
        <f t="shared" si="57"/>
        <v>1.5645792276093362</v>
      </c>
      <c r="AG65" s="7">
        <f t="shared" si="57"/>
        <v>1.5850886931397954</v>
      </c>
      <c r="AH65" s="7">
        <f t="shared" si="57"/>
        <v>1.6026682350230466</v>
      </c>
      <c r="AI65" s="7">
        <f t="shared" si="57"/>
        <v>1.593878464081421</v>
      </c>
      <c r="AJ65" s="7">
        <f t="shared" si="30"/>
        <v>21.010482474132111</v>
      </c>
      <c r="AK65" s="7">
        <v>1711</v>
      </c>
      <c r="AL65" s="7">
        <f t="shared" si="31"/>
        <v>1689.989517525868</v>
      </c>
    </row>
    <row r="66" spans="1:38" x14ac:dyDescent="0.3">
      <c r="A66" s="10"/>
      <c r="B66" s="10"/>
      <c r="C66" s="10"/>
      <c r="D66" s="10"/>
      <c r="E66" s="10"/>
      <c r="F66" s="10"/>
      <c r="G66" s="10" t="s">
        <v>113</v>
      </c>
      <c r="H66" s="11">
        <v>0</v>
      </c>
      <c r="I66" s="8">
        <v>0</v>
      </c>
      <c r="J66" s="8">
        <v>2.8208744710860371E-3</v>
      </c>
      <c r="K66" s="9">
        <v>2</v>
      </c>
      <c r="L66" s="11">
        <v>0</v>
      </c>
      <c r="M66" s="11">
        <v>1</v>
      </c>
      <c r="N66" s="11">
        <v>41</v>
      </c>
      <c r="O66" s="11">
        <v>18</v>
      </c>
      <c r="P66" s="11">
        <f t="shared" si="28"/>
        <v>60</v>
      </c>
      <c r="Q66" s="11">
        <v>149</v>
      </c>
      <c r="R66" s="11">
        <v>60</v>
      </c>
      <c r="S66" s="11">
        <v>38</v>
      </c>
      <c r="T66" s="11">
        <v>11</v>
      </c>
      <c r="U66" s="11">
        <v>17</v>
      </c>
      <c r="V66" s="11">
        <f>U66*(127/126)*(V$3/U$3)*1.2001258653241</f>
        <v>8.948378206030819</v>
      </c>
      <c r="W66" s="11">
        <f>U66*(119/126)*(W$3/U$3)*1.2001258653241</f>
        <v>12.523303175783187</v>
      </c>
      <c r="X66" s="11">
        <f>U66*(120/126)*(X$3/U$3)*1.2001258653241</f>
        <v>13.33313772673278</v>
      </c>
      <c r="Y66" s="11">
        <f>U66*(130/126)*(Y$3/U$3)*1.2001258653241</f>
        <v>14.913963676718035</v>
      </c>
      <c r="Z66" s="11">
        <f>U66*(112/126)*(Z$3/U$3)*1.2001258653241</f>
        <v>13.481283701474254</v>
      </c>
      <c r="AA66" s="11">
        <f>U66*(126/126)*(AA$3/U$3)*1.2001258653241</f>
        <v>15.394083100956413</v>
      </c>
      <c r="AB66" s="11">
        <f>U66*(83/126)*(AB$3/U$3)*1.2001258653241</f>
        <v>10.028082329870749</v>
      </c>
      <c r="AC66" s="11">
        <f>U66*(74/126)*(AC$3/U$3)*1.2001258653241</f>
        <v>9.0409694402442415</v>
      </c>
      <c r="AD66" s="11">
        <f>U66*(70/126)*(AD$3/U$3)*1.2001258653241</f>
        <v>8.5522683894202309</v>
      </c>
      <c r="AE66" s="11">
        <f>U66*(67/126)*(AE$3/U$3)*1.2001258653241</f>
        <v>8.1100887879814962</v>
      </c>
      <c r="AF66" s="11">
        <f>U66*(4/126)*(AF$3/U$3)*1.2001258653241</f>
        <v>0.48237774702407205</v>
      </c>
      <c r="AG66" s="11">
        <f>U66*(0/126)*(AG$3/U$3)*1.2001258653241</f>
        <v>0</v>
      </c>
      <c r="AH66" s="11">
        <f>U66*(0/126)*(AH$3/U$3)*1.2001258653241</f>
        <v>0</v>
      </c>
      <c r="AI66" s="11">
        <f>U66*(0/126)*(AI$3/U$3)*1.2001258653241</f>
        <v>0</v>
      </c>
      <c r="AJ66" s="11">
        <f t="shared" si="30"/>
        <v>389.80793628223637</v>
      </c>
      <c r="AK66" s="11">
        <v>1589</v>
      </c>
      <c r="AL66" s="11">
        <f t="shared" si="31"/>
        <v>1199.1920637177636</v>
      </c>
    </row>
    <row r="67" spans="1:38" x14ac:dyDescent="0.3">
      <c r="A67" s="6"/>
      <c r="B67" s="6"/>
      <c r="C67" s="6"/>
      <c r="D67" s="6"/>
      <c r="E67" s="6"/>
      <c r="F67" s="6"/>
      <c r="G67" s="6" t="s">
        <v>114</v>
      </c>
      <c r="H67" s="7">
        <v>0</v>
      </c>
      <c r="I67" s="8">
        <v>0</v>
      </c>
      <c r="J67" s="8">
        <v>0</v>
      </c>
      <c r="K67" s="9">
        <v>0</v>
      </c>
      <c r="L67" s="7">
        <v>0</v>
      </c>
      <c r="M67" s="7">
        <v>0</v>
      </c>
      <c r="N67" s="7">
        <v>0</v>
      </c>
      <c r="O67" s="7">
        <v>0</v>
      </c>
      <c r="P67" s="7">
        <f t="shared" si="28"/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f t="shared" ref="V67:AI70" si="58">3.67938659058487*V$3*$J67*0.336689547517629</f>
        <v>0</v>
      </c>
      <c r="W67" s="7">
        <f t="shared" si="58"/>
        <v>0</v>
      </c>
      <c r="X67" s="7">
        <f t="shared" si="58"/>
        <v>0</v>
      </c>
      <c r="Y67" s="7">
        <f t="shared" si="58"/>
        <v>0</v>
      </c>
      <c r="Z67" s="7">
        <f t="shared" si="58"/>
        <v>0</v>
      </c>
      <c r="AA67" s="7">
        <f t="shared" si="58"/>
        <v>0</v>
      </c>
      <c r="AB67" s="7">
        <f t="shared" si="58"/>
        <v>0</v>
      </c>
      <c r="AC67" s="7">
        <f t="shared" si="58"/>
        <v>0</v>
      </c>
      <c r="AD67" s="7">
        <f t="shared" si="58"/>
        <v>0</v>
      </c>
      <c r="AE67" s="7">
        <f t="shared" si="58"/>
        <v>0</v>
      </c>
      <c r="AF67" s="7">
        <f t="shared" si="58"/>
        <v>0</v>
      </c>
      <c r="AG67" s="7">
        <f t="shared" si="58"/>
        <v>0</v>
      </c>
      <c r="AH67" s="7">
        <f t="shared" si="58"/>
        <v>0</v>
      </c>
      <c r="AI67" s="7">
        <f t="shared" si="58"/>
        <v>0</v>
      </c>
      <c r="AJ67" s="7">
        <f t="shared" si="30"/>
        <v>0</v>
      </c>
      <c r="AK67" s="7">
        <v>1166</v>
      </c>
      <c r="AL67" s="7">
        <f t="shared" si="31"/>
        <v>1166</v>
      </c>
    </row>
    <row r="68" spans="1:38" x14ac:dyDescent="0.3">
      <c r="A68" s="10"/>
      <c r="B68" s="10"/>
      <c r="C68" s="10"/>
      <c r="D68" s="10"/>
      <c r="E68" s="10"/>
      <c r="F68" s="10"/>
      <c r="G68" s="10" t="s">
        <v>115</v>
      </c>
      <c r="H68" s="11">
        <v>0</v>
      </c>
      <c r="I68" s="8">
        <v>0</v>
      </c>
      <c r="J68" s="8">
        <v>0</v>
      </c>
      <c r="K68" s="9">
        <v>0</v>
      </c>
      <c r="L68" s="11">
        <v>0</v>
      </c>
      <c r="M68" s="11">
        <v>0</v>
      </c>
      <c r="N68" s="11">
        <v>0</v>
      </c>
      <c r="O68" s="11">
        <v>0</v>
      </c>
      <c r="P68" s="11">
        <f t="shared" si="28"/>
        <v>0</v>
      </c>
      <c r="Q68" s="11">
        <v>0</v>
      </c>
      <c r="R68" s="11">
        <v>0</v>
      </c>
      <c r="S68" s="11">
        <v>0</v>
      </c>
      <c r="T68" s="11">
        <v>0</v>
      </c>
      <c r="U68" s="11">
        <v>0</v>
      </c>
      <c r="V68" s="11">
        <f t="shared" si="58"/>
        <v>0</v>
      </c>
      <c r="W68" s="11">
        <f t="shared" si="58"/>
        <v>0</v>
      </c>
      <c r="X68" s="11">
        <f t="shared" si="58"/>
        <v>0</v>
      </c>
      <c r="Y68" s="11">
        <f t="shared" si="58"/>
        <v>0</v>
      </c>
      <c r="Z68" s="11">
        <f t="shared" si="58"/>
        <v>0</v>
      </c>
      <c r="AA68" s="11">
        <f t="shared" si="58"/>
        <v>0</v>
      </c>
      <c r="AB68" s="11">
        <f t="shared" si="58"/>
        <v>0</v>
      </c>
      <c r="AC68" s="11">
        <f t="shared" si="58"/>
        <v>0</v>
      </c>
      <c r="AD68" s="11">
        <f t="shared" si="58"/>
        <v>0</v>
      </c>
      <c r="AE68" s="11">
        <f t="shared" si="58"/>
        <v>0</v>
      </c>
      <c r="AF68" s="11">
        <f t="shared" si="58"/>
        <v>0</v>
      </c>
      <c r="AG68" s="11">
        <f t="shared" si="58"/>
        <v>0</v>
      </c>
      <c r="AH68" s="11">
        <f t="shared" si="58"/>
        <v>0</v>
      </c>
      <c r="AI68" s="11">
        <f t="shared" si="58"/>
        <v>0</v>
      </c>
      <c r="AJ68" s="11">
        <f t="shared" si="30"/>
        <v>0</v>
      </c>
      <c r="AK68" s="11">
        <v>989</v>
      </c>
      <c r="AL68" s="11">
        <f t="shared" si="31"/>
        <v>989</v>
      </c>
    </row>
    <row r="69" spans="1:38" x14ac:dyDescent="0.3">
      <c r="A69" s="6"/>
      <c r="B69" s="6"/>
      <c r="C69" s="6"/>
      <c r="D69" s="6"/>
      <c r="E69" s="6"/>
      <c r="F69" s="6"/>
      <c r="G69" s="6" t="s">
        <v>116</v>
      </c>
      <c r="H69" s="7">
        <v>0</v>
      </c>
      <c r="I69" s="8">
        <v>0</v>
      </c>
      <c r="J69" s="8">
        <v>0</v>
      </c>
      <c r="K69" s="9">
        <v>0</v>
      </c>
      <c r="L69" s="7">
        <v>0</v>
      </c>
      <c r="M69" s="7">
        <v>0</v>
      </c>
      <c r="N69" s="7">
        <v>0</v>
      </c>
      <c r="O69" s="7">
        <v>0</v>
      </c>
      <c r="P69" s="7">
        <f t="shared" ref="P69:P71" si="59">SUM(L69:O69)</f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f t="shared" si="58"/>
        <v>0</v>
      </c>
      <c r="W69" s="7">
        <f t="shared" si="58"/>
        <v>0</v>
      </c>
      <c r="X69" s="7">
        <f t="shared" si="58"/>
        <v>0</v>
      </c>
      <c r="Y69" s="7">
        <f t="shared" si="58"/>
        <v>0</v>
      </c>
      <c r="Z69" s="7">
        <f t="shared" si="58"/>
        <v>0</v>
      </c>
      <c r="AA69" s="7">
        <f t="shared" si="58"/>
        <v>0</v>
      </c>
      <c r="AB69" s="7">
        <f t="shared" si="58"/>
        <v>0</v>
      </c>
      <c r="AC69" s="7">
        <f t="shared" si="58"/>
        <v>0</v>
      </c>
      <c r="AD69" s="7">
        <f t="shared" si="58"/>
        <v>0</v>
      </c>
      <c r="AE69" s="7">
        <f t="shared" si="58"/>
        <v>0</v>
      </c>
      <c r="AF69" s="7">
        <f t="shared" si="58"/>
        <v>0</v>
      </c>
      <c r="AG69" s="7">
        <f t="shared" si="58"/>
        <v>0</v>
      </c>
      <c r="AH69" s="7">
        <f t="shared" si="58"/>
        <v>0</v>
      </c>
      <c r="AI69" s="7">
        <f t="shared" si="58"/>
        <v>0</v>
      </c>
      <c r="AJ69" s="7">
        <f t="shared" ref="AJ69:AJ71" si="60">SUM(Q69:AI69)</f>
        <v>0</v>
      </c>
      <c r="AK69" s="7">
        <v>966</v>
      </c>
      <c r="AL69" s="7">
        <f t="shared" ref="AL69:AL72" si="61">AK69-AJ69</f>
        <v>966</v>
      </c>
    </row>
    <row r="70" spans="1:38" x14ac:dyDescent="0.3">
      <c r="A70" s="10"/>
      <c r="B70" s="10"/>
      <c r="C70" s="10"/>
      <c r="D70" s="10"/>
      <c r="E70" s="10"/>
      <c r="F70" s="10"/>
      <c r="G70" s="10" t="s">
        <v>117</v>
      </c>
      <c r="H70" s="11">
        <v>0</v>
      </c>
      <c r="I70" s="8">
        <v>0</v>
      </c>
      <c r="J70" s="8">
        <v>0</v>
      </c>
      <c r="K70" s="9">
        <v>0</v>
      </c>
      <c r="L70" s="11">
        <v>0</v>
      </c>
      <c r="M70" s="11">
        <v>0</v>
      </c>
      <c r="N70" s="11">
        <v>0</v>
      </c>
      <c r="O70" s="11">
        <v>0</v>
      </c>
      <c r="P70" s="11">
        <f t="shared" si="59"/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f t="shared" si="58"/>
        <v>0</v>
      </c>
      <c r="W70" s="11">
        <f t="shared" si="58"/>
        <v>0</v>
      </c>
      <c r="X70" s="11">
        <f t="shared" si="58"/>
        <v>0</v>
      </c>
      <c r="Y70" s="11">
        <f t="shared" si="58"/>
        <v>0</v>
      </c>
      <c r="Z70" s="11">
        <f t="shared" si="58"/>
        <v>0</v>
      </c>
      <c r="AA70" s="11">
        <f t="shared" si="58"/>
        <v>0</v>
      </c>
      <c r="AB70" s="11">
        <f t="shared" si="58"/>
        <v>0</v>
      </c>
      <c r="AC70" s="11">
        <f t="shared" si="58"/>
        <v>0</v>
      </c>
      <c r="AD70" s="11">
        <f t="shared" si="58"/>
        <v>0</v>
      </c>
      <c r="AE70" s="11">
        <f t="shared" si="58"/>
        <v>0</v>
      </c>
      <c r="AF70" s="11">
        <f t="shared" si="58"/>
        <v>0</v>
      </c>
      <c r="AG70" s="11">
        <f t="shared" si="58"/>
        <v>0</v>
      </c>
      <c r="AH70" s="11">
        <f t="shared" si="58"/>
        <v>0</v>
      </c>
      <c r="AI70" s="11">
        <f t="shared" si="58"/>
        <v>0</v>
      </c>
      <c r="AJ70" s="11">
        <f t="shared" si="60"/>
        <v>0</v>
      </c>
      <c r="AK70" s="11">
        <v>855</v>
      </c>
      <c r="AL70" s="11">
        <f t="shared" si="61"/>
        <v>855</v>
      </c>
    </row>
    <row r="71" spans="1:38" x14ac:dyDescent="0.3">
      <c r="A71" s="6"/>
      <c r="B71" s="6"/>
      <c r="C71" s="6"/>
      <c r="D71" s="6"/>
      <c r="E71" s="6"/>
      <c r="F71" s="6"/>
      <c r="G71" s="6" t="s">
        <v>118</v>
      </c>
      <c r="H71" s="7">
        <v>0</v>
      </c>
      <c r="I71" s="8">
        <v>0</v>
      </c>
      <c r="J71" s="8">
        <v>0</v>
      </c>
      <c r="K71" s="9">
        <v>1</v>
      </c>
      <c r="L71" s="7">
        <v>0</v>
      </c>
      <c r="M71" s="7">
        <v>0</v>
      </c>
      <c r="N71" s="7">
        <v>0</v>
      </c>
      <c r="O71" s="7">
        <v>0</v>
      </c>
      <c r="P71" s="7">
        <f t="shared" si="59"/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f t="shared" ref="V71:AI71" si="62">3.67938659058487*V$3*$J71*0</f>
        <v>0</v>
      </c>
      <c r="W71" s="7">
        <f t="shared" si="62"/>
        <v>0</v>
      </c>
      <c r="X71" s="7">
        <f t="shared" si="62"/>
        <v>0</v>
      </c>
      <c r="Y71" s="7">
        <f t="shared" si="62"/>
        <v>0</v>
      </c>
      <c r="Z71" s="7">
        <f t="shared" si="62"/>
        <v>0</v>
      </c>
      <c r="AA71" s="7">
        <f t="shared" si="62"/>
        <v>0</v>
      </c>
      <c r="AB71" s="7">
        <f t="shared" si="62"/>
        <v>0</v>
      </c>
      <c r="AC71" s="7">
        <f t="shared" si="62"/>
        <v>0</v>
      </c>
      <c r="AD71" s="7">
        <f t="shared" si="62"/>
        <v>0</v>
      </c>
      <c r="AE71" s="7">
        <f t="shared" si="62"/>
        <v>0</v>
      </c>
      <c r="AF71" s="7">
        <f t="shared" si="62"/>
        <v>0</v>
      </c>
      <c r="AG71" s="7">
        <f t="shared" si="62"/>
        <v>0</v>
      </c>
      <c r="AH71" s="7">
        <f t="shared" si="62"/>
        <v>0</v>
      </c>
      <c r="AI71" s="7">
        <f t="shared" si="62"/>
        <v>0</v>
      </c>
      <c r="AJ71" s="7">
        <f t="shared" si="60"/>
        <v>0</v>
      </c>
      <c r="AK71" s="7">
        <v>673</v>
      </c>
      <c r="AL71" s="7">
        <f t="shared" si="61"/>
        <v>673</v>
      </c>
    </row>
    <row r="72" spans="1:38" x14ac:dyDescent="0.3">
      <c r="A72" s="12"/>
      <c r="B72" s="12"/>
      <c r="C72" s="12"/>
      <c r="D72" s="12"/>
      <c r="E72" s="12"/>
      <c r="F72" s="12"/>
      <c r="G72" s="12" t="s">
        <v>119</v>
      </c>
      <c r="H72" s="13">
        <f t="shared" ref="H72:AK72" si="63">SUM(H5:H71)</f>
        <v>313</v>
      </c>
      <c r="I72" s="14">
        <f t="shared" si="63"/>
        <v>0.99999999999999989</v>
      </c>
      <c r="J72" s="14">
        <f t="shared" si="63"/>
        <v>0.99999999999999933</v>
      </c>
      <c r="K72" s="13">
        <f t="shared" si="63"/>
        <v>695</v>
      </c>
      <c r="L72" s="13">
        <f t="shared" si="63"/>
        <v>0</v>
      </c>
      <c r="M72" s="13">
        <f t="shared" si="63"/>
        <v>1166</v>
      </c>
      <c r="N72" s="13">
        <f t="shared" si="63"/>
        <v>2165</v>
      </c>
      <c r="O72" s="13">
        <f t="shared" si="63"/>
        <v>1853</v>
      </c>
      <c r="P72" s="13">
        <f t="shared" si="63"/>
        <v>5184</v>
      </c>
      <c r="Q72" s="13">
        <f t="shared" si="63"/>
        <v>5325</v>
      </c>
      <c r="R72" s="13">
        <f t="shared" si="63"/>
        <v>4160</v>
      </c>
      <c r="S72" s="13">
        <f t="shared" si="63"/>
        <v>4017</v>
      </c>
      <c r="T72" s="13">
        <f t="shared" si="63"/>
        <v>2717</v>
      </c>
      <c r="U72" s="13">
        <f t="shared" si="63"/>
        <v>3308</v>
      </c>
      <c r="V72" s="13">
        <f t="shared" si="63"/>
        <v>1514.2768988281239</v>
      </c>
      <c r="W72" s="13">
        <f t="shared" si="63"/>
        <v>2294.4697239763418</v>
      </c>
      <c r="X72" s="13">
        <f t="shared" si="63"/>
        <v>2463.4404324492307</v>
      </c>
      <c r="Y72" s="13">
        <f t="shared" si="63"/>
        <v>2623.2510427559946</v>
      </c>
      <c r="Z72" s="13">
        <f t="shared" si="63"/>
        <v>2425.1919014696732</v>
      </c>
      <c r="AA72" s="13">
        <f t="shared" si="63"/>
        <v>2514.3756133742058</v>
      </c>
      <c r="AB72" s="13">
        <f t="shared" si="63"/>
        <v>1915.8811950513802</v>
      </c>
      <c r="AC72" s="13">
        <f t="shared" si="63"/>
        <v>1733.83013093362</v>
      </c>
      <c r="AD72" s="13">
        <f t="shared" si="63"/>
        <v>1650.1891379807878</v>
      </c>
      <c r="AE72" s="13">
        <f t="shared" si="63"/>
        <v>1514.3585941644087</v>
      </c>
      <c r="AF72" s="13">
        <f t="shared" si="63"/>
        <v>1461.0601335606161</v>
      </c>
      <c r="AG72" s="13">
        <f t="shared" si="63"/>
        <v>1351.3396494063286</v>
      </c>
      <c r="AH72" s="13">
        <f t="shared" si="63"/>
        <v>1339.9342797297934</v>
      </c>
      <c r="AI72" s="13">
        <f t="shared" si="63"/>
        <v>2270.8578061135763</v>
      </c>
      <c r="AJ72" s="13">
        <f t="shared" si="63"/>
        <v>46599.456539794061</v>
      </c>
      <c r="AK72" s="13">
        <f t="shared" si="63"/>
        <v>2818396</v>
      </c>
      <c r="AL72" s="13">
        <f t="shared" si="61"/>
        <v>2771796.5434602061</v>
      </c>
    </row>
  </sheetData>
  <autoFilter ref="G4:AL71" xr:uid="{00000000-0009-0000-0000-000003000000}"/>
  <mergeCells count="2">
    <mergeCell ref="A1:AL1"/>
    <mergeCell ref="A2:A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"/>
  <sheetViews>
    <sheetView showGridLines="0" workbookViewId="0">
      <pane ySplit="4" topLeftCell="A47" activePane="bottomLeft" state="frozen"/>
      <selection pane="bottomLeft" activeCell="B59" sqref="B59"/>
    </sheetView>
  </sheetViews>
  <sheetFormatPr baseColWidth="10" defaultColWidth="8.88671875" defaultRowHeight="14.4" x14ac:dyDescent="0.3"/>
  <cols>
    <col min="1" max="1" width="20" customWidth="1"/>
    <col min="2" max="2" width="18" customWidth="1"/>
    <col min="3" max="3" width="12" customWidth="1"/>
    <col min="4" max="4" width="55" customWidth="1"/>
  </cols>
  <sheetData>
    <row r="1" spans="1:4" ht="30" customHeight="1" x14ac:dyDescent="0.3">
      <c r="A1" s="32" t="s">
        <v>122</v>
      </c>
      <c r="B1" s="33"/>
      <c r="C1" s="33"/>
      <c r="D1" s="33"/>
    </row>
    <row r="2" spans="1:4" ht="18" customHeight="1" x14ac:dyDescent="0.3">
      <c r="A2" s="30" t="s">
        <v>123</v>
      </c>
      <c r="B2" s="31"/>
      <c r="C2" s="31"/>
      <c r="D2" s="31"/>
    </row>
    <row r="4" spans="1:4" x14ac:dyDescent="0.3">
      <c r="A4" s="5" t="s">
        <v>124</v>
      </c>
      <c r="B4" s="5" t="s">
        <v>125</v>
      </c>
      <c r="C4" s="5" t="s">
        <v>126</v>
      </c>
      <c r="D4" s="5" t="s">
        <v>127</v>
      </c>
    </row>
    <row r="5" spans="1:4" x14ac:dyDescent="0.3">
      <c r="A5" s="6" t="s">
        <v>128</v>
      </c>
      <c r="B5" s="7">
        <v>393</v>
      </c>
      <c r="C5" s="6" t="s">
        <v>129</v>
      </c>
      <c r="D5" s="6"/>
    </row>
    <row r="6" spans="1:4" x14ac:dyDescent="0.3">
      <c r="A6" s="6" t="s">
        <v>130</v>
      </c>
      <c r="B6" s="7">
        <v>587</v>
      </c>
      <c r="C6" s="6" t="s">
        <v>129</v>
      </c>
      <c r="D6" s="6"/>
    </row>
    <row r="7" spans="1:4" x14ac:dyDescent="0.3">
      <c r="A7" s="6" t="s">
        <v>131</v>
      </c>
      <c r="B7" s="7">
        <v>620</v>
      </c>
      <c r="C7" s="6" t="s">
        <v>129</v>
      </c>
      <c r="D7" s="6"/>
    </row>
    <row r="8" spans="1:4" x14ac:dyDescent="0.3">
      <c r="A8" s="6" t="s">
        <v>132</v>
      </c>
      <c r="B8" s="7">
        <v>640</v>
      </c>
      <c r="C8" s="6" t="s">
        <v>129</v>
      </c>
      <c r="D8" s="6"/>
    </row>
    <row r="9" spans="1:4" x14ac:dyDescent="0.3">
      <c r="A9" s="6" t="s">
        <v>133</v>
      </c>
      <c r="B9" s="7">
        <v>672</v>
      </c>
      <c r="C9" s="6" t="s">
        <v>129</v>
      </c>
      <c r="D9" s="6"/>
    </row>
    <row r="10" spans="1:4" x14ac:dyDescent="0.3">
      <c r="A10" s="6" t="s">
        <v>134</v>
      </c>
      <c r="B10" s="7">
        <v>682</v>
      </c>
      <c r="C10" s="6" t="s">
        <v>129</v>
      </c>
      <c r="D10" s="6"/>
    </row>
    <row r="11" spans="1:4" x14ac:dyDescent="0.3">
      <c r="A11" s="6" t="s">
        <v>135</v>
      </c>
      <c r="B11" s="7">
        <v>674</v>
      </c>
      <c r="C11" s="6" t="s">
        <v>129</v>
      </c>
      <c r="D11" s="6"/>
    </row>
    <row r="12" spans="1:4" x14ac:dyDescent="0.3">
      <c r="A12" s="6" t="s">
        <v>136</v>
      </c>
      <c r="B12" s="7">
        <v>681</v>
      </c>
      <c r="C12" s="6" t="s">
        <v>129</v>
      </c>
      <c r="D12" s="6"/>
    </row>
    <row r="13" spans="1:4" x14ac:dyDescent="0.3">
      <c r="A13" s="6" t="s">
        <v>137</v>
      </c>
      <c r="B13" s="7">
        <v>681</v>
      </c>
      <c r="C13" s="6" t="s">
        <v>129</v>
      </c>
      <c r="D13" s="6"/>
    </row>
    <row r="14" spans="1:4" x14ac:dyDescent="0.3">
      <c r="A14" s="6" t="s">
        <v>138</v>
      </c>
      <c r="B14" s="7">
        <v>675</v>
      </c>
      <c r="C14" s="6" t="s">
        <v>129</v>
      </c>
      <c r="D14" s="6"/>
    </row>
    <row r="15" spans="1:4" x14ac:dyDescent="0.3">
      <c r="A15" s="6" t="s">
        <v>139</v>
      </c>
      <c r="B15" s="7">
        <v>673</v>
      </c>
      <c r="C15" s="6" t="s">
        <v>129</v>
      </c>
      <c r="D15" s="6"/>
    </row>
    <row r="16" spans="1:4" x14ac:dyDescent="0.3">
      <c r="A16" s="6" t="s">
        <v>140</v>
      </c>
      <c r="B16" s="7">
        <v>682</v>
      </c>
      <c r="C16" s="6" t="s">
        <v>129</v>
      </c>
      <c r="D16" s="6"/>
    </row>
    <row r="17" spans="1:4" x14ac:dyDescent="0.3">
      <c r="A17" s="6" t="s">
        <v>141</v>
      </c>
      <c r="B17" s="7">
        <v>689</v>
      </c>
      <c r="C17" s="6" t="s">
        <v>129</v>
      </c>
      <c r="D17" s="6"/>
    </row>
    <row r="18" spans="1:4" x14ac:dyDescent="0.3">
      <c r="A18" s="6" t="s">
        <v>142</v>
      </c>
      <c r="B18" s="7">
        <v>685</v>
      </c>
      <c r="C18" s="6" t="s">
        <v>129</v>
      </c>
      <c r="D18" s="6"/>
    </row>
    <row r="19" spans="1:4" x14ac:dyDescent="0.3">
      <c r="A19" s="6" t="s">
        <v>143</v>
      </c>
      <c r="B19" s="7">
        <v>685</v>
      </c>
      <c r="C19" s="6" t="s">
        <v>129</v>
      </c>
      <c r="D19" s="6"/>
    </row>
    <row r="20" spans="1:4" x14ac:dyDescent="0.3">
      <c r="A20" s="6" t="s">
        <v>144</v>
      </c>
      <c r="B20" s="7">
        <v>691</v>
      </c>
      <c r="C20" s="6" t="s">
        <v>129</v>
      </c>
      <c r="D20" s="6"/>
    </row>
    <row r="21" spans="1:4" x14ac:dyDescent="0.3">
      <c r="A21" s="6" t="s">
        <v>145</v>
      </c>
      <c r="B21" s="7">
        <v>695</v>
      </c>
      <c r="C21" s="6" t="s">
        <v>129</v>
      </c>
      <c r="D21" s="6"/>
    </row>
    <row r="22" spans="1:4" x14ac:dyDescent="0.3">
      <c r="A22" s="6" t="s">
        <v>146</v>
      </c>
      <c r="B22" s="7">
        <v>695</v>
      </c>
      <c r="C22" s="6" t="s">
        <v>129</v>
      </c>
      <c r="D22" s="6"/>
    </row>
    <row r="23" spans="1:4" x14ac:dyDescent="0.3">
      <c r="A23" s="6" t="s">
        <v>147</v>
      </c>
      <c r="B23" s="7">
        <v>697</v>
      </c>
      <c r="C23" s="6" t="s">
        <v>129</v>
      </c>
      <c r="D23" s="6"/>
    </row>
    <row r="24" spans="1:4" x14ac:dyDescent="0.3">
      <c r="A24" s="6" t="s">
        <v>148</v>
      </c>
      <c r="B24" s="7">
        <v>663</v>
      </c>
      <c r="C24" s="6" t="s">
        <v>129</v>
      </c>
      <c r="D24" s="6"/>
    </row>
    <row r="25" spans="1:4" x14ac:dyDescent="0.3">
      <c r="A25" s="6" t="s">
        <v>149</v>
      </c>
      <c r="B25" s="7">
        <v>698</v>
      </c>
      <c r="C25" s="6" t="s">
        <v>129</v>
      </c>
      <c r="D25" s="6"/>
    </row>
    <row r="26" spans="1:4" x14ac:dyDescent="0.3">
      <c r="A26" s="6" t="s">
        <v>150</v>
      </c>
      <c r="B26" s="7">
        <v>704</v>
      </c>
      <c r="C26" s="6" t="s">
        <v>129</v>
      </c>
      <c r="D26" s="6"/>
    </row>
    <row r="27" spans="1:4" x14ac:dyDescent="0.3">
      <c r="A27" s="6" t="s">
        <v>151</v>
      </c>
      <c r="B27" s="7">
        <v>702</v>
      </c>
      <c r="C27" s="6" t="s">
        <v>129</v>
      </c>
      <c r="D27" s="6"/>
    </row>
    <row r="28" spans="1:4" x14ac:dyDescent="0.3">
      <c r="A28" s="6" t="s">
        <v>152</v>
      </c>
      <c r="B28" s="7">
        <v>712</v>
      </c>
      <c r="C28" s="6" t="s">
        <v>129</v>
      </c>
      <c r="D28" s="6"/>
    </row>
    <row r="29" spans="1:4" x14ac:dyDescent="0.3">
      <c r="A29" s="6" t="s">
        <v>153</v>
      </c>
      <c r="B29" s="7">
        <v>707</v>
      </c>
      <c r="C29" s="6" t="s">
        <v>129</v>
      </c>
      <c r="D29" s="6"/>
    </row>
    <row r="30" spans="1:4" x14ac:dyDescent="0.3">
      <c r="A30" s="6" t="s">
        <v>154</v>
      </c>
      <c r="B30" s="7">
        <v>710</v>
      </c>
      <c r="C30" s="6" t="s">
        <v>129</v>
      </c>
      <c r="D30" s="6"/>
    </row>
    <row r="31" spans="1:4" x14ac:dyDescent="0.3">
      <c r="A31" s="15" t="s">
        <v>155</v>
      </c>
      <c r="B31" s="16">
        <v>717</v>
      </c>
      <c r="C31" s="15" t="s">
        <v>129</v>
      </c>
      <c r="D31" s="15" t="s">
        <v>156</v>
      </c>
    </row>
    <row r="32" spans="1:4" x14ac:dyDescent="0.3">
      <c r="A32" s="15" t="s">
        <v>157</v>
      </c>
      <c r="B32" s="16">
        <v>312</v>
      </c>
      <c r="C32" s="15" t="s">
        <v>129</v>
      </c>
      <c r="D32" s="15" t="s">
        <v>158</v>
      </c>
    </row>
    <row r="33" spans="1:4" x14ac:dyDescent="0.3">
      <c r="A33" s="17" t="s">
        <v>157</v>
      </c>
      <c r="B33" s="18">
        <v>312</v>
      </c>
      <c r="C33" s="17" t="s">
        <v>159</v>
      </c>
      <c r="D33" s="17"/>
    </row>
    <row r="34" spans="1:4" x14ac:dyDescent="0.3">
      <c r="A34" s="17" t="s">
        <v>160</v>
      </c>
      <c r="B34" s="18">
        <v>466</v>
      </c>
      <c r="C34" s="17" t="s">
        <v>159</v>
      </c>
      <c r="D34" s="17"/>
    </row>
    <row r="35" spans="1:4" x14ac:dyDescent="0.3">
      <c r="A35" s="17" t="s">
        <v>161</v>
      </c>
      <c r="B35" s="18">
        <v>492</v>
      </c>
      <c r="C35" s="17" t="s">
        <v>159</v>
      </c>
      <c r="D35" s="17"/>
    </row>
    <row r="36" spans="1:4" x14ac:dyDescent="0.3">
      <c r="A36" s="17" t="s">
        <v>162</v>
      </c>
      <c r="B36" s="18">
        <v>508</v>
      </c>
      <c r="C36" s="17" t="s">
        <v>159</v>
      </c>
      <c r="D36" s="17"/>
    </row>
    <row r="37" spans="1:4" x14ac:dyDescent="0.3">
      <c r="A37" s="17" t="s">
        <v>163</v>
      </c>
      <c r="B37" s="18">
        <v>533</v>
      </c>
      <c r="C37" s="17" t="s">
        <v>159</v>
      </c>
      <c r="D37" s="17"/>
    </row>
    <row r="38" spans="1:4" x14ac:dyDescent="0.3">
      <c r="A38" s="17" t="s">
        <v>164</v>
      </c>
      <c r="B38" s="18">
        <v>541</v>
      </c>
      <c r="C38" s="17" t="s">
        <v>159</v>
      </c>
      <c r="D38" s="17"/>
    </row>
    <row r="39" spans="1:4" x14ac:dyDescent="0.3">
      <c r="A39" s="17" t="s">
        <v>165</v>
      </c>
      <c r="B39" s="18">
        <v>535</v>
      </c>
      <c r="C39" s="17" t="s">
        <v>159</v>
      </c>
      <c r="D39" s="17"/>
    </row>
    <row r="40" spans="1:4" x14ac:dyDescent="0.3">
      <c r="A40" s="17" t="s">
        <v>166</v>
      </c>
      <c r="B40" s="18">
        <v>541</v>
      </c>
      <c r="C40" s="17" t="s">
        <v>159</v>
      </c>
      <c r="D40" s="17"/>
    </row>
    <row r="41" spans="1:4" x14ac:dyDescent="0.3">
      <c r="A41" s="17" t="s">
        <v>167</v>
      </c>
      <c r="B41" s="18">
        <v>541</v>
      </c>
      <c r="C41" s="17" t="s">
        <v>159</v>
      </c>
      <c r="D41" s="17"/>
    </row>
    <row r="42" spans="1:4" x14ac:dyDescent="0.3">
      <c r="A42" s="17" t="s">
        <v>168</v>
      </c>
      <c r="B42" s="18">
        <v>536</v>
      </c>
      <c r="C42" s="17" t="s">
        <v>159</v>
      </c>
      <c r="D42" s="17"/>
    </row>
    <row r="43" spans="1:4" x14ac:dyDescent="0.3">
      <c r="A43" s="17" t="s">
        <v>169</v>
      </c>
      <c r="B43" s="18">
        <v>534</v>
      </c>
      <c r="C43" s="17" t="s">
        <v>159</v>
      </c>
      <c r="D43" s="17"/>
    </row>
    <row r="44" spans="1:4" x14ac:dyDescent="0.3">
      <c r="A44" s="17" t="s">
        <v>170</v>
      </c>
      <c r="B44" s="18">
        <v>541</v>
      </c>
      <c r="C44" s="17" t="s">
        <v>159</v>
      </c>
      <c r="D44" s="17"/>
    </row>
    <row r="45" spans="1:4" x14ac:dyDescent="0.3">
      <c r="A45" s="17" t="s">
        <v>171</v>
      </c>
      <c r="B45" s="18">
        <v>547</v>
      </c>
      <c r="C45" s="17" t="s">
        <v>159</v>
      </c>
      <c r="D45" s="17"/>
    </row>
    <row r="46" spans="1:4" x14ac:dyDescent="0.3">
      <c r="A46" s="17" t="s">
        <v>172</v>
      </c>
      <c r="B46" s="18">
        <v>544</v>
      </c>
      <c r="C46" s="17" t="s">
        <v>159</v>
      </c>
      <c r="D46" s="17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2"/>
  <sheetViews>
    <sheetView showGridLines="0" topLeftCell="F1" workbookViewId="0">
      <pane ySplit="4" topLeftCell="A14" activePane="bottomLeft" state="frozen"/>
      <selection pane="bottomLeft" activeCell="R6" sqref="R6"/>
    </sheetView>
  </sheetViews>
  <sheetFormatPr baseColWidth="10" defaultColWidth="8.88671875" defaultRowHeight="14.4" x14ac:dyDescent="0.3"/>
  <cols>
    <col min="1" max="1" width="26" customWidth="1"/>
    <col min="2" max="2" width="13" customWidth="1"/>
    <col min="3" max="3" width="12.33203125" bestFit="1" customWidth="1"/>
    <col min="4" max="4" width="22.77734375" bestFit="1" customWidth="1"/>
    <col min="5" max="5" width="12" customWidth="1"/>
    <col min="6" max="6" width="22" customWidth="1"/>
    <col min="7" max="7" width="20" customWidth="1"/>
    <col min="8" max="8" width="18" customWidth="1"/>
    <col min="9" max="10" width="16" customWidth="1"/>
    <col min="11" max="11" width="32" customWidth="1"/>
    <col min="12" max="12" width="18" customWidth="1"/>
    <col min="13" max="13" width="12" customWidth="1"/>
    <col min="14" max="14" width="16" customWidth="1"/>
  </cols>
  <sheetData>
    <row r="1" spans="1:14" ht="30" customHeight="1" x14ac:dyDescent="0.3">
      <c r="A1" s="32" t="s">
        <v>173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18" customHeight="1" x14ac:dyDescent="0.3">
      <c r="A2" s="30" t="s">
        <v>174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4" spans="1:14" ht="55.2" x14ac:dyDescent="0.3">
      <c r="A4" s="5" t="s">
        <v>20</v>
      </c>
      <c r="B4" s="5" t="s">
        <v>175</v>
      </c>
      <c r="C4" s="5" t="s">
        <v>176</v>
      </c>
      <c r="D4" s="26" t="s">
        <v>199</v>
      </c>
      <c r="E4" s="5" t="s">
        <v>177</v>
      </c>
      <c r="F4" s="26" t="s">
        <v>200</v>
      </c>
      <c r="G4" s="26" t="s">
        <v>190</v>
      </c>
      <c r="H4" s="26" t="s">
        <v>191</v>
      </c>
      <c r="I4" s="26" t="s">
        <v>192</v>
      </c>
      <c r="J4" s="26" t="s">
        <v>201</v>
      </c>
      <c r="K4" s="5" t="s">
        <v>178</v>
      </c>
      <c r="L4" s="26" t="s">
        <v>202</v>
      </c>
      <c r="M4" s="5" t="s">
        <v>179</v>
      </c>
      <c r="N4" s="5" t="s">
        <v>180</v>
      </c>
    </row>
    <row r="5" spans="1:14" x14ac:dyDescent="0.3">
      <c r="A5" s="6" t="s">
        <v>52</v>
      </c>
      <c r="B5" s="7">
        <v>1134103</v>
      </c>
      <c r="C5" s="7">
        <v>111</v>
      </c>
      <c r="D5" s="7">
        <v>55</v>
      </c>
      <c r="E5" s="19">
        <v>0.1751592356687898</v>
      </c>
      <c r="F5" s="7">
        <v>318</v>
      </c>
      <c r="G5" s="7">
        <v>924</v>
      </c>
      <c r="H5" s="7">
        <v>821</v>
      </c>
      <c r="I5" s="19">
        <v>0.81708158851410428</v>
      </c>
      <c r="J5" s="7">
        <v>688</v>
      </c>
      <c r="K5" s="6"/>
      <c r="L5" s="7">
        <v>3521</v>
      </c>
      <c r="M5" s="7">
        <v>17756</v>
      </c>
      <c r="N5" s="7">
        <v>21731</v>
      </c>
    </row>
    <row r="6" spans="1:14" x14ac:dyDescent="0.3">
      <c r="A6" s="10" t="s">
        <v>53</v>
      </c>
      <c r="B6" s="11">
        <v>739683</v>
      </c>
      <c r="C6" s="11">
        <v>189</v>
      </c>
      <c r="D6" s="11">
        <v>139</v>
      </c>
      <c r="E6" s="20">
        <v>0.44585987261146498</v>
      </c>
      <c r="F6" s="11">
        <v>395</v>
      </c>
      <c r="G6" s="11">
        <v>7989</v>
      </c>
      <c r="H6" s="11">
        <v>1680</v>
      </c>
      <c r="I6" s="20">
        <v>0.19268999884728269</v>
      </c>
      <c r="J6" s="11">
        <v>322</v>
      </c>
      <c r="K6" s="10"/>
      <c r="L6" s="11">
        <v>7482</v>
      </c>
      <c r="M6" s="11">
        <v>21731</v>
      </c>
      <c r="N6" s="11">
        <v>112777</v>
      </c>
    </row>
    <row r="7" spans="1:14" x14ac:dyDescent="0.3">
      <c r="A7" s="6" t="s">
        <v>54</v>
      </c>
      <c r="B7" s="7">
        <v>134650</v>
      </c>
      <c r="C7" s="7">
        <v>24</v>
      </c>
      <c r="D7" s="7">
        <v>12</v>
      </c>
      <c r="E7" s="19">
        <v>3.8216560509554139E-2</v>
      </c>
      <c r="F7" s="7">
        <v>46</v>
      </c>
      <c r="G7" s="7">
        <v>16307</v>
      </c>
      <c r="H7" s="7">
        <v>19601</v>
      </c>
      <c r="I7" s="19">
        <v>1.3501567776169801</v>
      </c>
      <c r="J7" s="7">
        <v>7608</v>
      </c>
      <c r="K7" s="6"/>
      <c r="L7" s="7">
        <v>8226</v>
      </c>
      <c r="M7" s="7">
        <v>22391</v>
      </c>
      <c r="N7" s="7">
        <v>16584</v>
      </c>
    </row>
    <row r="8" spans="1:14" x14ac:dyDescent="0.3">
      <c r="A8" s="10" t="s">
        <v>55</v>
      </c>
      <c r="B8" s="11">
        <v>114818</v>
      </c>
      <c r="C8" s="11">
        <v>29</v>
      </c>
      <c r="D8" s="11">
        <v>13</v>
      </c>
      <c r="E8" s="20">
        <v>4.1401273885350323E-2</v>
      </c>
      <c r="F8" s="11">
        <v>40</v>
      </c>
      <c r="G8" s="11">
        <v>17068</v>
      </c>
      <c r="H8" s="11">
        <v>13783</v>
      </c>
      <c r="I8" s="20">
        <v>0.63752789882027849</v>
      </c>
      <c r="J8" s="11">
        <v>7021</v>
      </c>
      <c r="K8" s="10"/>
      <c r="L8" s="11">
        <v>7691</v>
      </c>
      <c r="M8" s="11">
        <v>11997</v>
      </c>
      <c r="N8" s="11">
        <v>18818</v>
      </c>
    </row>
    <row r="9" spans="1:14" x14ac:dyDescent="0.3">
      <c r="A9" s="6" t="s">
        <v>56</v>
      </c>
      <c r="B9" s="7">
        <v>88585</v>
      </c>
      <c r="C9" s="7">
        <v>32</v>
      </c>
      <c r="D9" s="7">
        <v>0</v>
      </c>
      <c r="E9" s="19">
        <v>0</v>
      </c>
      <c r="F9" s="7">
        <v>75</v>
      </c>
      <c r="G9" s="7">
        <v>1077</v>
      </c>
      <c r="H9" s="7">
        <v>186</v>
      </c>
      <c r="I9" s="19">
        <v>0.16988717416677471</v>
      </c>
      <c r="J9" s="7">
        <v>2</v>
      </c>
      <c r="K9" s="6"/>
      <c r="L9" s="7">
        <v>2</v>
      </c>
      <c r="M9" s="7">
        <v>3930</v>
      </c>
      <c r="N9" s="7">
        <v>23133</v>
      </c>
    </row>
    <row r="10" spans="1:14" x14ac:dyDescent="0.3">
      <c r="A10" s="10" t="s">
        <v>57</v>
      </c>
      <c r="B10" s="11">
        <v>48852</v>
      </c>
      <c r="C10" s="11">
        <v>18</v>
      </c>
      <c r="D10" s="11">
        <v>10</v>
      </c>
      <c r="E10" s="20">
        <v>3.1847133757961783E-2</v>
      </c>
      <c r="F10" s="11">
        <v>34</v>
      </c>
      <c r="G10" s="11">
        <v>266</v>
      </c>
      <c r="H10" s="11">
        <v>135</v>
      </c>
      <c r="I10" s="20">
        <v>6.6179159049360142E-2</v>
      </c>
      <c r="J10" s="11">
        <v>139</v>
      </c>
      <c r="K10" s="10"/>
      <c r="L10" s="11">
        <v>654</v>
      </c>
      <c r="M10" s="11">
        <v>905</v>
      </c>
      <c r="N10" s="11">
        <v>13675</v>
      </c>
    </row>
    <row r="11" spans="1:14" x14ac:dyDescent="0.3">
      <c r="A11" s="6" t="s">
        <v>58</v>
      </c>
      <c r="B11" s="7">
        <v>37676</v>
      </c>
      <c r="C11" s="7">
        <v>12</v>
      </c>
      <c r="D11" s="7">
        <v>6</v>
      </c>
      <c r="E11" s="19">
        <v>1.9108280254777069E-2</v>
      </c>
      <c r="F11" s="7">
        <v>24</v>
      </c>
      <c r="G11" s="7">
        <v>3199</v>
      </c>
      <c r="H11" s="7">
        <v>2359</v>
      </c>
      <c r="I11" s="19">
        <v>0.50022346368715087</v>
      </c>
      <c r="J11" s="7">
        <v>1735</v>
      </c>
      <c r="K11" s="6"/>
      <c r="L11" s="7">
        <v>2044</v>
      </c>
      <c r="M11" s="7">
        <v>4477</v>
      </c>
      <c r="N11" s="7">
        <v>8950</v>
      </c>
    </row>
    <row r="12" spans="1:14" x14ac:dyDescent="0.3">
      <c r="A12" s="10" t="s">
        <v>59</v>
      </c>
      <c r="B12" s="11">
        <v>34218</v>
      </c>
      <c r="C12" s="11">
        <v>12</v>
      </c>
      <c r="D12" s="11">
        <v>7</v>
      </c>
      <c r="E12" s="20">
        <v>2.229299363057325E-2</v>
      </c>
      <c r="F12" s="11">
        <v>20</v>
      </c>
      <c r="G12" s="11">
        <v>447</v>
      </c>
      <c r="H12" s="11">
        <v>173</v>
      </c>
      <c r="I12" s="20">
        <v>0.39323943661971827</v>
      </c>
      <c r="J12" s="11">
        <v>0</v>
      </c>
      <c r="K12" s="21" t="s">
        <v>181</v>
      </c>
      <c r="L12" s="11">
        <v>361</v>
      </c>
      <c r="M12" s="11">
        <v>3490</v>
      </c>
      <c r="N12" s="11">
        <v>8875</v>
      </c>
    </row>
    <row r="13" spans="1:14" x14ac:dyDescent="0.3">
      <c r="A13" s="6" t="s">
        <v>60</v>
      </c>
      <c r="B13" s="7">
        <v>33019</v>
      </c>
      <c r="C13" s="7">
        <v>9</v>
      </c>
      <c r="D13" s="7">
        <v>4</v>
      </c>
      <c r="E13" s="19">
        <v>1.2738853503184711E-2</v>
      </c>
      <c r="F13" s="7">
        <v>10</v>
      </c>
      <c r="G13" s="7">
        <v>335</v>
      </c>
      <c r="H13" s="7">
        <v>120</v>
      </c>
      <c r="I13" s="19">
        <v>0.3541854185418542</v>
      </c>
      <c r="J13" s="7">
        <v>0</v>
      </c>
      <c r="K13" s="21" t="s">
        <v>181</v>
      </c>
      <c r="L13" s="7">
        <v>206</v>
      </c>
      <c r="M13" s="7">
        <v>2361</v>
      </c>
      <c r="N13" s="7">
        <v>6666</v>
      </c>
    </row>
    <row r="14" spans="1:14" x14ac:dyDescent="0.3">
      <c r="A14" s="10" t="s">
        <v>61</v>
      </c>
      <c r="B14" s="11">
        <v>30091</v>
      </c>
      <c r="C14" s="11">
        <v>12</v>
      </c>
      <c r="D14" s="11">
        <v>8</v>
      </c>
      <c r="E14" s="20">
        <v>2.5477707006369432E-2</v>
      </c>
      <c r="F14" s="11">
        <v>17</v>
      </c>
      <c r="G14" s="11">
        <v>106</v>
      </c>
      <c r="H14" s="11">
        <v>58</v>
      </c>
      <c r="I14" s="20">
        <v>0.13585502310873271</v>
      </c>
      <c r="J14" s="11">
        <v>112</v>
      </c>
      <c r="K14" s="10"/>
      <c r="L14" s="11">
        <v>524</v>
      </c>
      <c r="M14" s="11">
        <v>1117</v>
      </c>
      <c r="N14" s="11">
        <v>8222</v>
      </c>
    </row>
    <row r="15" spans="1:14" x14ac:dyDescent="0.3">
      <c r="A15" s="6" t="s">
        <v>62</v>
      </c>
      <c r="B15" s="7">
        <v>29698</v>
      </c>
      <c r="C15" s="7">
        <v>9</v>
      </c>
      <c r="D15" s="7">
        <v>3</v>
      </c>
      <c r="E15" s="19">
        <v>9.5541401273885346E-3</v>
      </c>
      <c r="F15" s="7">
        <v>10</v>
      </c>
      <c r="G15" s="7">
        <v>370</v>
      </c>
      <c r="H15" s="7">
        <v>357</v>
      </c>
      <c r="I15" s="19">
        <v>0.95750160978750809</v>
      </c>
      <c r="J15" s="7">
        <v>377</v>
      </c>
      <c r="K15" s="6"/>
      <c r="L15" s="7">
        <v>532</v>
      </c>
      <c r="M15" s="7">
        <v>5948</v>
      </c>
      <c r="N15" s="7">
        <v>6212</v>
      </c>
    </row>
    <row r="16" spans="1:14" x14ac:dyDescent="0.3">
      <c r="A16" s="10" t="s">
        <v>63</v>
      </c>
      <c r="B16" s="11">
        <v>26370</v>
      </c>
      <c r="C16" s="11">
        <v>12</v>
      </c>
      <c r="D16" s="11">
        <v>5</v>
      </c>
      <c r="E16" s="20">
        <v>1.5923566878980892E-2</v>
      </c>
      <c r="F16" s="11">
        <v>21</v>
      </c>
      <c r="G16" s="11">
        <v>537</v>
      </c>
      <c r="H16" s="11">
        <v>170</v>
      </c>
      <c r="I16" s="20">
        <v>0.18105055378879259</v>
      </c>
      <c r="J16" s="11">
        <v>258</v>
      </c>
      <c r="K16" s="10"/>
      <c r="L16" s="11">
        <v>516</v>
      </c>
      <c r="M16" s="11">
        <v>1651</v>
      </c>
      <c r="N16" s="11">
        <v>9119</v>
      </c>
    </row>
    <row r="17" spans="1:14" x14ac:dyDescent="0.3">
      <c r="A17" s="6" t="s">
        <v>64</v>
      </c>
      <c r="B17" s="7">
        <v>22590</v>
      </c>
      <c r="C17" s="7">
        <v>10</v>
      </c>
      <c r="D17" s="7">
        <v>5</v>
      </c>
      <c r="E17" s="19">
        <v>1.5923566878980892E-2</v>
      </c>
      <c r="F17" s="7">
        <v>19</v>
      </c>
      <c r="G17" s="7">
        <v>3252</v>
      </c>
      <c r="H17" s="7">
        <v>3735</v>
      </c>
      <c r="I17" s="19">
        <v>1.206353749284488</v>
      </c>
      <c r="J17" s="7">
        <v>582</v>
      </c>
      <c r="K17" s="6"/>
      <c r="L17" s="7">
        <v>840</v>
      </c>
      <c r="M17" s="7">
        <v>8430</v>
      </c>
      <c r="N17" s="7">
        <v>6988</v>
      </c>
    </row>
    <row r="18" spans="1:14" x14ac:dyDescent="0.3">
      <c r="A18" s="10" t="s">
        <v>65</v>
      </c>
      <c r="B18" s="11">
        <v>19398</v>
      </c>
      <c r="C18" s="11">
        <v>5</v>
      </c>
      <c r="D18" s="11">
        <v>0</v>
      </c>
      <c r="E18" s="20">
        <v>0</v>
      </c>
      <c r="F18" s="11">
        <v>6</v>
      </c>
      <c r="G18" s="11">
        <v>109</v>
      </c>
      <c r="H18" s="11">
        <v>14</v>
      </c>
      <c r="I18" s="20">
        <v>0.15445026178010471</v>
      </c>
      <c r="J18" s="11">
        <v>0</v>
      </c>
      <c r="K18" s="10"/>
      <c r="L18" s="11">
        <v>0</v>
      </c>
      <c r="M18" s="11">
        <v>649</v>
      </c>
      <c r="N18" s="11">
        <v>4202</v>
      </c>
    </row>
    <row r="19" spans="1:14" x14ac:dyDescent="0.3">
      <c r="A19" s="6" t="s">
        <v>66</v>
      </c>
      <c r="B19" s="7">
        <v>18542</v>
      </c>
      <c r="C19" s="7">
        <v>5</v>
      </c>
      <c r="D19" s="7">
        <v>4</v>
      </c>
      <c r="E19" s="19">
        <v>1.2738853503184711E-2</v>
      </c>
      <c r="F19" s="7">
        <v>13</v>
      </c>
      <c r="G19" s="7">
        <v>260</v>
      </c>
      <c r="H19" s="7">
        <v>40</v>
      </c>
      <c r="I19" s="19">
        <v>0.1464570320913203</v>
      </c>
      <c r="J19" s="7">
        <v>0</v>
      </c>
      <c r="K19" s="21" t="s">
        <v>181</v>
      </c>
      <c r="L19" s="7">
        <v>206</v>
      </c>
      <c r="M19" s="7">
        <v>680</v>
      </c>
      <c r="N19" s="7">
        <v>4643</v>
      </c>
    </row>
    <row r="20" spans="1:14" x14ac:dyDescent="0.3">
      <c r="A20" s="10" t="s">
        <v>67</v>
      </c>
      <c r="B20" s="11">
        <v>18388</v>
      </c>
      <c r="C20" s="11">
        <v>16</v>
      </c>
      <c r="D20" s="11">
        <v>6</v>
      </c>
      <c r="E20" s="20">
        <v>1.9108280254777069E-2</v>
      </c>
      <c r="F20" s="11">
        <v>23</v>
      </c>
      <c r="G20" s="11">
        <v>609</v>
      </c>
      <c r="H20" s="11">
        <v>65</v>
      </c>
      <c r="I20" s="20">
        <v>8.0429634641407302E-2</v>
      </c>
      <c r="J20" s="11">
        <v>61</v>
      </c>
      <c r="K20" s="10"/>
      <c r="L20" s="11">
        <v>370</v>
      </c>
      <c r="M20" s="11">
        <v>951</v>
      </c>
      <c r="N20" s="11">
        <v>11824</v>
      </c>
    </row>
    <row r="21" spans="1:14" x14ac:dyDescent="0.3">
      <c r="A21" s="6" t="s">
        <v>68</v>
      </c>
      <c r="B21" s="7">
        <v>18163</v>
      </c>
      <c r="C21" s="7">
        <v>3</v>
      </c>
      <c r="D21" s="7">
        <v>0</v>
      </c>
      <c r="E21" s="19">
        <v>0</v>
      </c>
      <c r="F21" s="7">
        <v>7</v>
      </c>
      <c r="G21" s="7">
        <v>109</v>
      </c>
      <c r="H21" s="7">
        <v>27</v>
      </c>
      <c r="I21" s="19">
        <v>0.22941176470588229</v>
      </c>
      <c r="J21" s="7">
        <v>0</v>
      </c>
      <c r="K21" s="6"/>
      <c r="L21" s="7">
        <v>0</v>
      </c>
      <c r="M21" s="7">
        <v>546</v>
      </c>
      <c r="N21" s="7">
        <v>2380</v>
      </c>
    </row>
    <row r="22" spans="1:14" x14ac:dyDescent="0.3">
      <c r="A22" s="10" t="s">
        <v>69</v>
      </c>
      <c r="B22" s="11">
        <v>17956</v>
      </c>
      <c r="C22" s="11">
        <v>8</v>
      </c>
      <c r="D22" s="11">
        <v>3</v>
      </c>
      <c r="E22" s="20">
        <v>9.5541401273885346E-3</v>
      </c>
      <c r="F22" s="11">
        <v>10</v>
      </c>
      <c r="G22" s="11">
        <v>295</v>
      </c>
      <c r="H22" s="11">
        <v>92</v>
      </c>
      <c r="I22" s="20">
        <v>0.3064820641913153</v>
      </c>
      <c r="J22" s="11">
        <v>0</v>
      </c>
      <c r="K22" s="21" t="s">
        <v>181</v>
      </c>
      <c r="L22" s="11">
        <v>155</v>
      </c>
      <c r="M22" s="11">
        <v>1948</v>
      </c>
      <c r="N22" s="11">
        <v>6356</v>
      </c>
    </row>
    <row r="23" spans="1:14" x14ac:dyDescent="0.3">
      <c r="A23" s="6" t="s">
        <v>70</v>
      </c>
      <c r="B23" s="7">
        <v>17760</v>
      </c>
      <c r="C23" s="7">
        <v>8</v>
      </c>
      <c r="D23" s="7">
        <v>3</v>
      </c>
      <c r="E23" s="19">
        <v>9.5541401273885346E-3</v>
      </c>
      <c r="F23" s="7">
        <v>11</v>
      </c>
      <c r="G23" s="7">
        <v>295</v>
      </c>
      <c r="H23" s="7">
        <v>43</v>
      </c>
      <c r="I23" s="19">
        <v>0.158175355450237</v>
      </c>
      <c r="J23" s="7">
        <v>0</v>
      </c>
      <c r="K23" s="21" t="s">
        <v>181</v>
      </c>
      <c r="L23" s="7">
        <v>155</v>
      </c>
      <c r="M23" s="7">
        <v>1068</v>
      </c>
      <c r="N23" s="7">
        <v>6752</v>
      </c>
    </row>
    <row r="24" spans="1:14" x14ac:dyDescent="0.3">
      <c r="A24" s="10" t="s">
        <v>71</v>
      </c>
      <c r="B24" s="11">
        <v>17312</v>
      </c>
      <c r="C24" s="11">
        <v>11</v>
      </c>
      <c r="D24" s="11">
        <v>5</v>
      </c>
      <c r="E24" s="20">
        <v>1.5923566878980892E-2</v>
      </c>
      <c r="F24" s="11">
        <v>17</v>
      </c>
      <c r="G24" s="11">
        <v>447</v>
      </c>
      <c r="H24" s="11">
        <v>51</v>
      </c>
      <c r="I24" s="20">
        <v>0.1075279552715655</v>
      </c>
      <c r="J24" s="11">
        <v>0</v>
      </c>
      <c r="K24" s="21" t="s">
        <v>181</v>
      </c>
      <c r="L24" s="11">
        <v>258</v>
      </c>
      <c r="M24" s="11">
        <v>1077</v>
      </c>
      <c r="N24" s="11">
        <v>10016</v>
      </c>
    </row>
    <row r="25" spans="1:14" x14ac:dyDescent="0.3">
      <c r="A25" s="6" t="s">
        <v>72</v>
      </c>
      <c r="B25" s="7">
        <v>16406</v>
      </c>
      <c r="C25" s="7">
        <v>5</v>
      </c>
      <c r="D25" s="7">
        <v>3</v>
      </c>
      <c r="E25" s="19">
        <v>9.5541401273885346E-3</v>
      </c>
      <c r="F25" s="7">
        <v>9</v>
      </c>
      <c r="G25" s="7">
        <v>241</v>
      </c>
      <c r="H25" s="7">
        <v>82</v>
      </c>
      <c r="I25" s="19">
        <v>0.15307342740971061</v>
      </c>
      <c r="J25" s="7">
        <v>79</v>
      </c>
      <c r="K25" s="6"/>
      <c r="L25" s="7">
        <v>234</v>
      </c>
      <c r="M25" s="7">
        <v>640</v>
      </c>
      <c r="N25" s="7">
        <v>4181</v>
      </c>
    </row>
    <row r="26" spans="1:14" x14ac:dyDescent="0.3">
      <c r="A26" s="10" t="s">
        <v>73</v>
      </c>
      <c r="B26" s="11">
        <v>12913</v>
      </c>
      <c r="C26" s="11">
        <v>7</v>
      </c>
      <c r="D26" s="11">
        <v>3</v>
      </c>
      <c r="E26" s="20">
        <v>9.5541401273885346E-3</v>
      </c>
      <c r="F26" s="11">
        <v>10</v>
      </c>
      <c r="G26" s="11">
        <v>260</v>
      </c>
      <c r="H26" s="11">
        <v>51</v>
      </c>
      <c r="I26" s="20">
        <v>0.1900483759502419</v>
      </c>
      <c r="J26" s="11">
        <v>0</v>
      </c>
      <c r="K26" s="21" t="s">
        <v>181</v>
      </c>
      <c r="L26" s="11">
        <v>155</v>
      </c>
      <c r="M26" s="11">
        <v>1100</v>
      </c>
      <c r="N26" s="11">
        <v>5788</v>
      </c>
    </row>
    <row r="27" spans="1:14" x14ac:dyDescent="0.3">
      <c r="A27" s="6" t="s">
        <v>74</v>
      </c>
      <c r="B27" s="7">
        <v>10758</v>
      </c>
      <c r="C27" s="7">
        <v>7</v>
      </c>
      <c r="D27" s="7">
        <v>3</v>
      </c>
      <c r="E27" s="19">
        <v>9.5541401273885346E-3</v>
      </c>
      <c r="F27" s="7">
        <v>11</v>
      </c>
      <c r="G27" s="7">
        <v>260</v>
      </c>
      <c r="H27" s="7">
        <v>168</v>
      </c>
      <c r="I27" s="19">
        <v>0.64043583535108961</v>
      </c>
      <c r="J27" s="7">
        <v>0</v>
      </c>
      <c r="K27" s="21" t="s">
        <v>181</v>
      </c>
      <c r="L27" s="7">
        <v>155</v>
      </c>
      <c r="M27" s="7">
        <v>3703</v>
      </c>
      <c r="N27" s="7">
        <v>5782</v>
      </c>
    </row>
    <row r="28" spans="1:14" x14ac:dyDescent="0.3">
      <c r="A28" s="10" t="s">
        <v>75</v>
      </c>
      <c r="B28" s="11">
        <v>9994</v>
      </c>
      <c r="C28" s="11">
        <v>4</v>
      </c>
      <c r="D28" s="11">
        <v>0</v>
      </c>
      <c r="E28" s="20">
        <v>0</v>
      </c>
      <c r="F28" s="11">
        <v>8</v>
      </c>
      <c r="G28" s="11">
        <v>186</v>
      </c>
      <c r="H28" s="11">
        <v>66</v>
      </c>
      <c r="I28" s="20">
        <v>0.1744186046511628</v>
      </c>
      <c r="J28" s="11">
        <v>39</v>
      </c>
      <c r="K28" s="10"/>
      <c r="L28" s="11">
        <v>39</v>
      </c>
      <c r="M28" s="11">
        <v>675</v>
      </c>
      <c r="N28" s="11">
        <v>3870</v>
      </c>
    </row>
    <row r="29" spans="1:14" x14ac:dyDescent="0.3">
      <c r="A29" s="6" t="s">
        <v>76</v>
      </c>
      <c r="B29" s="7">
        <v>9474</v>
      </c>
      <c r="C29" s="7">
        <v>9</v>
      </c>
      <c r="D29" s="7">
        <v>5</v>
      </c>
      <c r="E29" s="19">
        <v>1.5923566878980892E-2</v>
      </c>
      <c r="F29" s="7">
        <v>12</v>
      </c>
      <c r="G29" s="7">
        <v>335</v>
      </c>
      <c r="H29" s="7">
        <v>41</v>
      </c>
      <c r="I29" s="19">
        <v>0.1211115209639739</v>
      </c>
      <c r="J29" s="7">
        <v>0</v>
      </c>
      <c r="K29" s="21" t="s">
        <v>181</v>
      </c>
      <c r="L29" s="7">
        <v>258</v>
      </c>
      <c r="M29" s="7">
        <v>985</v>
      </c>
      <c r="N29" s="7">
        <v>8133</v>
      </c>
    </row>
    <row r="30" spans="1:14" x14ac:dyDescent="0.3">
      <c r="A30" s="10" t="s">
        <v>77</v>
      </c>
      <c r="B30" s="11">
        <v>8614</v>
      </c>
      <c r="C30" s="11">
        <v>3</v>
      </c>
      <c r="D30" s="11">
        <v>0</v>
      </c>
      <c r="E30" s="20">
        <v>0</v>
      </c>
      <c r="F30" s="11">
        <v>9</v>
      </c>
      <c r="G30" s="11">
        <v>109</v>
      </c>
      <c r="H30" s="11">
        <v>0</v>
      </c>
      <c r="I30" s="20">
        <v>0</v>
      </c>
      <c r="J30" s="11">
        <v>0</v>
      </c>
      <c r="K30" s="10"/>
      <c r="L30" s="11">
        <v>0</v>
      </c>
      <c r="M30" s="11">
        <v>0</v>
      </c>
      <c r="N30" s="11">
        <v>2302</v>
      </c>
    </row>
    <row r="31" spans="1:14" x14ac:dyDescent="0.3">
      <c r="A31" s="6" t="s">
        <v>78</v>
      </c>
      <c r="B31" s="7">
        <v>8605</v>
      </c>
      <c r="C31" s="7">
        <v>4</v>
      </c>
      <c r="D31" s="7">
        <v>3</v>
      </c>
      <c r="E31" s="19">
        <v>9.5541401273885346E-3</v>
      </c>
      <c r="F31" s="7">
        <v>8</v>
      </c>
      <c r="G31" s="7">
        <v>147</v>
      </c>
      <c r="H31" s="7">
        <v>27</v>
      </c>
      <c r="I31" s="19">
        <v>0.16901004304160691</v>
      </c>
      <c r="J31" s="7">
        <v>0</v>
      </c>
      <c r="K31" s="21" t="s">
        <v>181</v>
      </c>
      <c r="L31" s="7">
        <v>155</v>
      </c>
      <c r="M31" s="7">
        <v>589</v>
      </c>
      <c r="N31" s="7">
        <v>3485</v>
      </c>
    </row>
    <row r="32" spans="1:14" x14ac:dyDescent="0.3">
      <c r="A32" s="10" t="s">
        <v>79</v>
      </c>
      <c r="B32" s="11">
        <v>7479</v>
      </c>
      <c r="C32" s="11">
        <v>8</v>
      </c>
      <c r="D32" s="11">
        <v>0</v>
      </c>
      <c r="E32" s="20">
        <v>0</v>
      </c>
      <c r="F32" s="11">
        <v>8</v>
      </c>
      <c r="G32" s="11">
        <v>260</v>
      </c>
      <c r="H32" s="11">
        <v>14</v>
      </c>
      <c r="I32" s="20">
        <v>5.9950645957323273E-2</v>
      </c>
      <c r="J32" s="11">
        <v>1</v>
      </c>
      <c r="K32" s="10"/>
      <c r="L32" s="11">
        <v>1</v>
      </c>
      <c r="M32" s="11">
        <v>413</v>
      </c>
      <c r="N32" s="11">
        <v>6889</v>
      </c>
    </row>
    <row r="33" spans="1:14" x14ac:dyDescent="0.3">
      <c r="A33" s="6" t="s">
        <v>80</v>
      </c>
      <c r="B33" s="7">
        <v>6985</v>
      </c>
      <c r="C33" s="7">
        <v>3</v>
      </c>
      <c r="D33" s="7">
        <v>0</v>
      </c>
      <c r="E33" s="19">
        <v>0</v>
      </c>
      <c r="F33" s="7">
        <v>4</v>
      </c>
      <c r="G33" s="7">
        <v>109</v>
      </c>
      <c r="H33" s="7">
        <v>14</v>
      </c>
      <c r="I33" s="19">
        <v>0.16403785488958991</v>
      </c>
      <c r="J33" s="7">
        <v>0</v>
      </c>
      <c r="K33" s="6"/>
      <c r="L33" s="7">
        <v>0</v>
      </c>
      <c r="M33" s="7">
        <v>468</v>
      </c>
      <c r="N33" s="7">
        <v>2853</v>
      </c>
    </row>
    <row r="34" spans="1:14" x14ac:dyDescent="0.3">
      <c r="A34" s="10" t="s">
        <v>81</v>
      </c>
      <c r="B34" s="11">
        <v>6824</v>
      </c>
      <c r="C34" s="11">
        <v>4</v>
      </c>
      <c r="D34" s="11">
        <v>0</v>
      </c>
      <c r="E34" s="20">
        <v>0</v>
      </c>
      <c r="F34" s="11">
        <v>4</v>
      </c>
      <c r="G34" s="11">
        <v>147</v>
      </c>
      <c r="H34" s="11">
        <v>54</v>
      </c>
      <c r="I34" s="20">
        <v>0.35633116883116878</v>
      </c>
      <c r="J34" s="11">
        <v>0</v>
      </c>
      <c r="K34" s="10"/>
      <c r="L34" s="11">
        <v>0</v>
      </c>
      <c r="M34" s="11">
        <v>1317</v>
      </c>
      <c r="N34" s="11">
        <v>3696</v>
      </c>
    </row>
    <row r="35" spans="1:14" x14ac:dyDescent="0.3">
      <c r="A35" s="6" t="s">
        <v>82</v>
      </c>
      <c r="B35" s="7">
        <v>6670</v>
      </c>
      <c r="C35" s="7">
        <v>5</v>
      </c>
      <c r="D35" s="7">
        <v>0</v>
      </c>
      <c r="E35" s="19">
        <v>0</v>
      </c>
      <c r="F35" s="7">
        <v>8</v>
      </c>
      <c r="G35" s="7">
        <v>312</v>
      </c>
      <c r="H35" s="7">
        <v>365</v>
      </c>
      <c r="I35" s="19">
        <v>1.2820444915254241</v>
      </c>
      <c r="J35" s="7">
        <v>261</v>
      </c>
      <c r="K35" s="6"/>
      <c r="L35" s="7">
        <v>261</v>
      </c>
      <c r="M35" s="7">
        <v>4841</v>
      </c>
      <c r="N35" s="7">
        <v>3776</v>
      </c>
    </row>
    <row r="36" spans="1:14" x14ac:dyDescent="0.3">
      <c r="A36" s="10" t="s">
        <v>83</v>
      </c>
      <c r="B36" s="11">
        <v>5651</v>
      </c>
      <c r="C36" s="11">
        <v>2</v>
      </c>
      <c r="D36" s="11">
        <v>0</v>
      </c>
      <c r="E36" s="20">
        <v>0</v>
      </c>
      <c r="F36" s="11">
        <v>4</v>
      </c>
      <c r="G36" s="11">
        <v>78</v>
      </c>
      <c r="H36" s="11">
        <v>64</v>
      </c>
      <c r="I36" s="20">
        <v>0.81462140992167098</v>
      </c>
      <c r="J36" s="11">
        <v>0</v>
      </c>
      <c r="K36" s="10"/>
      <c r="L36" s="11">
        <v>0</v>
      </c>
      <c r="M36" s="11">
        <v>1248</v>
      </c>
      <c r="N36" s="11">
        <v>1532</v>
      </c>
    </row>
    <row r="37" spans="1:14" x14ac:dyDescent="0.3">
      <c r="A37" s="6" t="s">
        <v>84</v>
      </c>
      <c r="B37" s="7">
        <v>5428</v>
      </c>
      <c r="C37" s="7">
        <v>5</v>
      </c>
      <c r="D37" s="7">
        <v>0</v>
      </c>
      <c r="E37" s="19">
        <v>0</v>
      </c>
      <c r="F37" s="7">
        <v>6</v>
      </c>
      <c r="G37" s="7">
        <v>186</v>
      </c>
      <c r="H37" s="7">
        <v>0</v>
      </c>
      <c r="I37" s="19">
        <v>0</v>
      </c>
      <c r="J37" s="7">
        <v>0</v>
      </c>
      <c r="K37" s="6"/>
      <c r="L37" s="7">
        <v>0</v>
      </c>
      <c r="M37" s="7">
        <v>0</v>
      </c>
      <c r="N37" s="7">
        <v>3978</v>
      </c>
    </row>
    <row r="38" spans="1:14" x14ac:dyDescent="0.3">
      <c r="A38" s="10" t="s">
        <v>85</v>
      </c>
      <c r="B38" s="11">
        <v>5402</v>
      </c>
      <c r="C38" s="11">
        <v>7</v>
      </c>
      <c r="D38" s="11">
        <v>1</v>
      </c>
      <c r="E38" s="20">
        <v>3.1847133757961789E-3</v>
      </c>
      <c r="F38" s="11">
        <v>11</v>
      </c>
      <c r="G38" s="11">
        <v>260</v>
      </c>
      <c r="H38" s="11">
        <v>0</v>
      </c>
      <c r="I38" s="20">
        <v>1.629026286560533E-2</v>
      </c>
      <c r="J38" s="11">
        <v>2</v>
      </c>
      <c r="K38" s="10"/>
      <c r="L38" s="11">
        <v>54</v>
      </c>
      <c r="M38" s="11">
        <v>88</v>
      </c>
      <c r="N38" s="11">
        <v>5402</v>
      </c>
    </row>
    <row r="39" spans="1:14" x14ac:dyDescent="0.3">
      <c r="A39" s="6" t="s">
        <v>86</v>
      </c>
      <c r="B39" s="7">
        <v>5239</v>
      </c>
      <c r="C39" s="7">
        <v>0</v>
      </c>
      <c r="D39" s="7">
        <v>0</v>
      </c>
      <c r="E39" s="19">
        <v>0</v>
      </c>
      <c r="F39" s="7">
        <v>2</v>
      </c>
      <c r="G39" s="7">
        <v>1</v>
      </c>
      <c r="H39" s="7">
        <v>1</v>
      </c>
      <c r="I39" s="19">
        <v>0.33668954751762992</v>
      </c>
      <c r="J39" s="7">
        <v>1</v>
      </c>
      <c r="K39" s="6"/>
      <c r="L39" s="7">
        <v>1</v>
      </c>
      <c r="M39" s="7">
        <v>0</v>
      </c>
      <c r="N39" s="7">
        <v>0</v>
      </c>
    </row>
    <row r="40" spans="1:14" x14ac:dyDescent="0.3">
      <c r="A40" s="10" t="s">
        <v>87</v>
      </c>
      <c r="B40" s="11">
        <v>4826</v>
      </c>
      <c r="C40" s="11">
        <v>4</v>
      </c>
      <c r="D40" s="11">
        <v>0</v>
      </c>
      <c r="E40" s="20">
        <v>0</v>
      </c>
      <c r="F40" s="11">
        <v>4</v>
      </c>
      <c r="G40" s="11">
        <v>147</v>
      </c>
      <c r="H40" s="11">
        <v>27</v>
      </c>
      <c r="I40" s="20">
        <v>0.2220902612826603</v>
      </c>
      <c r="J40" s="11">
        <v>0</v>
      </c>
      <c r="K40" s="10"/>
      <c r="L40" s="11">
        <v>0</v>
      </c>
      <c r="M40" s="11">
        <v>935</v>
      </c>
      <c r="N40" s="11">
        <v>4210</v>
      </c>
    </row>
    <row r="41" spans="1:14" x14ac:dyDescent="0.3">
      <c r="A41" s="6" t="s">
        <v>88</v>
      </c>
      <c r="B41" s="7">
        <v>4625</v>
      </c>
      <c r="C41" s="7">
        <v>6</v>
      </c>
      <c r="D41" s="7">
        <v>0</v>
      </c>
      <c r="E41" s="19">
        <v>0</v>
      </c>
      <c r="F41" s="7">
        <v>11</v>
      </c>
      <c r="G41" s="7">
        <v>226</v>
      </c>
      <c r="H41" s="7">
        <v>14</v>
      </c>
      <c r="I41" s="19">
        <v>6.4648648648648652E-2</v>
      </c>
      <c r="J41" s="7">
        <v>0</v>
      </c>
      <c r="K41" s="6"/>
      <c r="L41" s="7">
        <v>0</v>
      </c>
      <c r="M41" s="7">
        <v>299</v>
      </c>
      <c r="N41" s="7">
        <v>4625</v>
      </c>
    </row>
    <row r="42" spans="1:14" x14ac:dyDescent="0.3">
      <c r="A42" s="10" t="s">
        <v>89</v>
      </c>
      <c r="B42" s="11">
        <v>4241</v>
      </c>
      <c r="C42" s="11">
        <v>4</v>
      </c>
      <c r="D42" s="11">
        <v>0</v>
      </c>
      <c r="E42" s="20">
        <v>0</v>
      </c>
      <c r="F42" s="11">
        <v>4</v>
      </c>
      <c r="G42" s="11">
        <v>147</v>
      </c>
      <c r="H42" s="11">
        <v>38</v>
      </c>
      <c r="I42" s="20">
        <v>0.23738317757009339</v>
      </c>
      <c r="J42" s="11">
        <v>0</v>
      </c>
      <c r="K42" s="10"/>
      <c r="L42" s="11">
        <v>0</v>
      </c>
      <c r="M42" s="11">
        <v>889</v>
      </c>
      <c r="N42" s="11">
        <v>3745</v>
      </c>
    </row>
    <row r="43" spans="1:14" x14ac:dyDescent="0.3">
      <c r="A43" s="6" t="s">
        <v>90</v>
      </c>
      <c r="B43" s="7">
        <v>4187</v>
      </c>
      <c r="C43" s="7">
        <v>3</v>
      </c>
      <c r="D43" s="7">
        <v>0</v>
      </c>
      <c r="E43" s="19">
        <v>0</v>
      </c>
      <c r="F43" s="7">
        <v>5</v>
      </c>
      <c r="G43" s="7">
        <v>109</v>
      </c>
      <c r="H43" s="7">
        <v>0</v>
      </c>
      <c r="I43" s="19">
        <v>4.1465378421900158E-2</v>
      </c>
      <c r="J43" s="7">
        <v>0</v>
      </c>
      <c r="K43" s="6"/>
      <c r="L43" s="7">
        <v>0</v>
      </c>
      <c r="M43" s="7">
        <v>103</v>
      </c>
      <c r="N43" s="7">
        <v>2484</v>
      </c>
    </row>
    <row r="44" spans="1:14" x14ac:dyDescent="0.3">
      <c r="A44" s="10" t="s">
        <v>91</v>
      </c>
      <c r="B44" s="11">
        <v>4068</v>
      </c>
      <c r="C44" s="11">
        <v>4</v>
      </c>
      <c r="D44" s="11">
        <v>0</v>
      </c>
      <c r="E44" s="20">
        <v>0</v>
      </c>
      <c r="F44" s="11">
        <v>5</v>
      </c>
      <c r="G44" s="11">
        <v>148</v>
      </c>
      <c r="H44" s="11">
        <v>1</v>
      </c>
      <c r="I44" s="20">
        <v>3.3462033462033462E-2</v>
      </c>
      <c r="J44" s="11">
        <v>1</v>
      </c>
      <c r="K44" s="10"/>
      <c r="L44" s="11">
        <v>1</v>
      </c>
      <c r="M44" s="11">
        <v>104</v>
      </c>
      <c r="N44" s="11">
        <v>3108</v>
      </c>
    </row>
    <row r="45" spans="1:14" x14ac:dyDescent="0.3">
      <c r="A45" s="6" t="s">
        <v>92</v>
      </c>
      <c r="B45" s="7">
        <v>4032</v>
      </c>
      <c r="C45" s="7">
        <v>4</v>
      </c>
      <c r="D45" s="7">
        <v>0</v>
      </c>
      <c r="E45" s="19">
        <v>0</v>
      </c>
      <c r="F45" s="7">
        <v>5</v>
      </c>
      <c r="G45" s="7">
        <v>147</v>
      </c>
      <c r="H45" s="7">
        <v>0</v>
      </c>
      <c r="I45" s="19">
        <v>3.9171796306659203E-3</v>
      </c>
      <c r="J45" s="7">
        <v>0</v>
      </c>
      <c r="K45" s="6"/>
      <c r="L45" s="7">
        <v>0</v>
      </c>
      <c r="M45" s="7">
        <v>14</v>
      </c>
      <c r="N45" s="7">
        <v>3574</v>
      </c>
    </row>
    <row r="46" spans="1:14" x14ac:dyDescent="0.3">
      <c r="A46" s="10" t="s">
        <v>93</v>
      </c>
      <c r="B46" s="11">
        <v>3804</v>
      </c>
      <c r="C46" s="11">
        <v>0</v>
      </c>
      <c r="D46" s="11">
        <v>0</v>
      </c>
      <c r="E46" s="20">
        <v>0</v>
      </c>
      <c r="F46" s="11">
        <v>3</v>
      </c>
      <c r="G46" s="11">
        <v>0</v>
      </c>
      <c r="H46" s="11">
        <v>0</v>
      </c>
      <c r="I46" s="20">
        <v>0.33668954751762992</v>
      </c>
      <c r="J46" s="11">
        <v>0</v>
      </c>
      <c r="K46" s="10"/>
      <c r="L46" s="11">
        <v>0</v>
      </c>
      <c r="M46" s="11">
        <v>0</v>
      </c>
      <c r="N46" s="11">
        <v>0</v>
      </c>
    </row>
    <row r="47" spans="1:14" x14ac:dyDescent="0.3">
      <c r="A47" s="6" t="s">
        <v>94</v>
      </c>
      <c r="B47" s="7">
        <v>3781</v>
      </c>
      <c r="C47" s="7">
        <v>5</v>
      </c>
      <c r="D47" s="7">
        <v>2</v>
      </c>
      <c r="E47" s="19">
        <v>6.369426751592357E-3</v>
      </c>
      <c r="F47" s="7">
        <v>6</v>
      </c>
      <c r="G47" s="7">
        <v>201</v>
      </c>
      <c r="H47" s="7">
        <v>95</v>
      </c>
      <c r="I47" s="19">
        <v>0.43401216609362597</v>
      </c>
      <c r="J47" s="7">
        <v>162</v>
      </c>
      <c r="K47" s="6"/>
      <c r="L47" s="7">
        <v>265</v>
      </c>
      <c r="M47" s="7">
        <v>1641</v>
      </c>
      <c r="N47" s="7">
        <v>3781</v>
      </c>
    </row>
    <row r="48" spans="1:14" x14ac:dyDescent="0.3">
      <c r="A48" s="10" t="s">
        <v>95</v>
      </c>
      <c r="B48" s="11">
        <v>3724</v>
      </c>
      <c r="C48" s="11">
        <v>2</v>
      </c>
      <c r="D48" s="11">
        <v>0</v>
      </c>
      <c r="E48" s="20">
        <v>0</v>
      </c>
      <c r="F48" s="11">
        <v>4</v>
      </c>
      <c r="G48" s="11">
        <v>78</v>
      </c>
      <c r="H48" s="11">
        <v>14</v>
      </c>
      <c r="I48" s="20">
        <v>0.21824423737126039</v>
      </c>
      <c r="J48" s="11">
        <v>0</v>
      </c>
      <c r="K48" s="10"/>
      <c r="L48" s="11">
        <v>0</v>
      </c>
      <c r="M48" s="11">
        <v>445</v>
      </c>
      <c r="N48" s="11">
        <v>2039</v>
      </c>
    </row>
    <row r="49" spans="1:14" x14ac:dyDescent="0.3">
      <c r="A49" s="6" t="s">
        <v>96</v>
      </c>
      <c r="B49" s="7">
        <v>3685</v>
      </c>
      <c r="C49" s="7">
        <v>1</v>
      </c>
      <c r="D49" s="7">
        <v>0</v>
      </c>
      <c r="E49" s="19">
        <v>0</v>
      </c>
      <c r="F49" s="7">
        <v>4</v>
      </c>
      <c r="G49" s="7">
        <v>40</v>
      </c>
      <c r="H49" s="7">
        <v>40</v>
      </c>
      <c r="I49" s="19">
        <v>1.1356837606837611</v>
      </c>
      <c r="J49" s="7">
        <v>0</v>
      </c>
      <c r="K49" s="6"/>
      <c r="L49" s="7">
        <v>0</v>
      </c>
      <c r="M49" s="7">
        <v>1063</v>
      </c>
      <c r="N49" s="7">
        <v>936</v>
      </c>
    </row>
    <row r="50" spans="1:14" x14ac:dyDescent="0.3">
      <c r="A50" s="10" t="s">
        <v>97</v>
      </c>
      <c r="B50" s="11">
        <v>3540</v>
      </c>
      <c r="C50" s="11">
        <v>3</v>
      </c>
      <c r="D50" s="11">
        <v>1</v>
      </c>
      <c r="E50" s="20">
        <v>3.1847133757961789E-3</v>
      </c>
      <c r="F50" s="11">
        <v>7</v>
      </c>
      <c r="G50" s="11">
        <v>109</v>
      </c>
      <c r="H50" s="11">
        <v>14</v>
      </c>
      <c r="I50" s="20">
        <v>0.12714285714285711</v>
      </c>
      <c r="J50" s="11">
        <v>0</v>
      </c>
      <c r="K50" s="21" t="s">
        <v>181</v>
      </c>
      <c r="L50" s="11">
        <v>52</v>
      </c>
      <c r="M50" s="11">
        <v>356</v>
      </c>
      <c r="N50" s="11">
        <v>2800</v>
      </c>
    </row>
    <row r="51" spans="1:14" x14ac:dyDescent="0.3">
      <c r="A51" s="6" t="s">
        <v>98</v>
      </c>
      <c r="B51" s="7">
        <v>3329</v>
      </c>
      <c r="C51" s="7">
        <v>6</v>
      </c>
      <c r="D51" s="7">
        <v>0</v>
      </c>
      <c r="E51" s="19">
        <v>0</v>
      </c>
      <c r="F51" s="7">
        <v>16</v>
      </c>
      <c r="G51" s="7">
        <v>226</v>
      </c>
      <c r="H51" s="7">
        <v>41</v>
      </c>
      <c r="I51" s="19">
        <v>0.17272454190447581</v>
      </c>
      <c r="J51" s="7">
        <v>0</v>
      </c>
      <c r="K51" s="6"/>
      <c r="L51" s="7">
        <v>0</v>
      </c>
      <c r="M51" s="7">
        <v>575</v>
      </c>
      <c r="N51" s="7">
        <v>3329</v>
      </c>
    </row>
    <row r="52" spans="1:14" x14ac:dyDescent="0.3">
      <c r="A52" s="10" t="s">
        <v>99</v>
      </c>
      <c r="B52" s="11">
        <v>3311</v>
      </c>
      <c r="C52" s="11">
        <v>3</v>
      </c>
      <c r="D52" s="11">
        <v>1</v>
      </c>
      <c r="E52" s="20">
        <v>3.1847133757961789E-3</v>
      </c>
      <c r="F52" s="11">
        <v>4</v>
      </c>
      <c r="G52" s="11">
        <v>147</v>
      </c>
      <c r="H52" s="11">
        <v>68</v>
      </c>
      <c r="I52" s="20">
        <v>0.46219512195121948</v>
      </c>
      <c r="J52" s="11">
        <v>0</v>
      </c>
      <c r="K52" s="21" t="s">
        <v>181</v>
      </c>
      <c r="L52" s="11">
        <v>52</v>
      </c>
      <c r="M52" s="11">
        <v>1137</v>
      </c>
      <c r="N52" s="11">
        <v>2460</v>
      </c>
    </row>
    <row r="53" spans="1:14" x14ac:dyDescent="0.3">
      <c r="A53" s="6" t="s">
        <v>100</v>
      </c>
      <c r="B53" s="7">
        <v>3129</v>
      </c>
      <c r="C53" s="7">
        <v>6</v>
      </c>
      <c r="D53" s="7">
        <v>0</v>
      </c>
      <c r="E53" s="19">
        <v>0</v>
      </c>
      <c r="F53" s="7">
        <v>11</v>
      </c>
      <c r="G53" s="7">
        <v>226</v>
      </c>
      <c r="H53" s="7">
        <v>54</v>
      </c>
      <c r="I53" s="19">
        <v>0.2336209651645893</v>
      </c>
      <c r="J53" s="7">
        <v>0</v>
      </c>
      <c r="K53" s="6"/>
      <c r="L53" s="7">
        <v>0</v>
      </c>
      <c r="M53" s="7">
        <v>731</v>
      </c>
      <c r="N53" s="7">
        <v>3129</v>
      </c>
    </row>
    <row r="54" spans="1:14" x14ac:dyDescent="0.3">
      <c r="A54" s="10" t="s">
        <v>101</v>
      </c>
      <c r="B54" s="11">
        <v>3114</v>
      </c>
      <c r="C54" s="11">
        <v>3</v>
      </c>
      <c r="D54" s="11">
        <v>0</v>
      </c>
      <c r="E54" s="20">
        <v>0</v>
      </c>
      <c r="F54" s="11">
        <v>4</v>
      </c>
      <c r="G54" s="11">
        <v>247</v>
      </c>
      <c r="H54" s="11">
        <v>223</v>
      </c>
      <c r="I54" s="20">
        <v>0.72079479273723879</v>
      </c>
      <c r="J54" s="11">
        <v>260</v>
      </c>
      <c r="K54" s="10"/>
      <c r="L54" s="11">
        <v>260</v>
      </c>
      <c r="M54" s="11">
        <v>2104</v>
      </c>
      <c r="N54" s="11">
        <v>2919</v>
      </c>
    </row>
    <row r="55" spans="1:14" x14ac:dyDescent="0.3">
      <c r="A55" s="6" t="s">
        <v>102</v>
      </c>
      <c r="B55" s="7">
        <v>3077</v>
      </c>
      <c r="C55" s="7">
        <v>4</v>
      </c>
      <c r="D55" s="7">
        <v>0</v>
      </c>
      <c r="E55" s="19">
        <v>0</v>
      </c>
      <c r="F55" s="7">
        <v>6</v>
      </c>
      <c r="G55" s="7">
        <v>147</v>
      </c>
      <c r="H55" s="7">
        <v>27</v>
      </c>
      <c r="I55" s="19">
        <v>0.15729606759831011</v>
      </c>
      <c r="J55" s="7">
        <v>0</v>
      </c>
      <c r="K55" s="6"/>
      <c r="L55" s="7">
        <v>0</v>
      </c>
      <c r="M55" s="7">
        <v>484</v>
      </c>
      <c r="N55" s="7">
        <v>3077</v>
      </c>
    </row>
    <row r="56" spans="1:14" x14ac:dyDescent="0.3">
      <c r="A56" s="10" t="s">
        <v>103</v>
      </c>
      <c r="B56" s="11">
        <v>3071</v>
      </c>
      <c r="C56" s="11">
        <v>0</v>
      </c>
      <c r="D56" s="11">
        <v>0</v>
      </c>
      <c r="E56" s="20">
        <v>0</v>
      </c>
      <c r="F56" s="11">
        <v>6</v>
      </c>
      <c r="G56" s="11">
        <v>0</v>
      </c>
      <c r="H56" s="11">
        <v>0</v>
      </c>
      <c r="I56" s="20">
        <v>0.33668954751762992</v>
      </c>
      <c r="J56" s="11">
        <v>0</v>
      </c>
      <c r="K56" s="10"/>
      <c r="L56" s="11">
        <v>0</v>
      </c>
      <c r="M56" s="11">
        <v>0</v>
      </c>
      <c r="N56" s="11">
        <v>0</v>
      </c>
    </row>
    <row r="57" spans="1:14" x14ac:dyDescent="0.3">
      <c r="A57" s="6" t="s">
        <v>104</v>
      </c>
      <c r="B57" s="7">
        <v>2859</v>
      </c>
      <c r="C57" s="7">
        <v>3</v>
      </c>
      <c r="D57" s="7">
        <v>3</v>
      </c>
      <c r="E57" s="19">
        <v>9.5541401273885346E-3</v>
      </c>
      <c r="F57" s="7">
        <v>6</v>
      </c>
      <c r="G57" s="7">
        <v>109</v>
      </c>
      <c r="H57" s="7">
        <v>27</v>
      </c>
      <c r="I57" s="19">
        <v>0.2282655246252677</v>
      </c>
      <c r="J57" s="7">
        <v>0</v>
      </c>
      <c r="K57" s="21" t="s">
        <v>181</v>
      </c>
      <c r="L57" s="7">
        <v>155</v>
      </c>
      <c r="M57" s="7">
        <v>533</v>
      </c>
      <c r="N57" s="7">
        <v>2335</v>
      </c>
    </row>
    <row r="58" spans="1:14" x14ac:dyDescent="0.3">
      <c r="A58" s="10" t="s">
        <v>105</v>
      </c>
      <c r="B58" s="11">
        <v>2753</v>
      </c>
      <c r="C58" s="11">
        <v>4</v>
      </c>
      <c r="D58" s="11">
        <v>0</v>
      </c>
      <c r="E58" s="20">
        <v>0</v>
      </c>
      <c r="F58" s="11">
        <v>5</v>
      </c>
      <c r="G58" s="11">
        <v>873</v>
      </c>
      <c r="H58" s="11">
        <v>711</v>
      </c>
      <c r="I58" s="20">
        <v>0.6356701779876498</v>
      </c>
      <c r="J58" s="11">
        <v>381</v>
      </c>
      <c r="K58" s="10"/>
      <c r="L58" s="11">
        <v>381</v>
      </c>
      <c r="M58" s="11">
        <v>1750</v>
      </c>
      <c r="N58" s="11">
        <v>2753</v>
      </c>
    </row>
    <row r="59" spans="1:14" x14ac:dyDescent="0.3">
      <c r="A59" s="6" t="s">
        <v>106</v>
      </c>
      <c r="B59" s="7">
        <v>2523</v>
      </c>
      <c r="C59" s="7">
        <v>2</v>
      </c>
      <c r="D59" s="7">
        <v>0</v>
      </c>
      <c r="E59" s="19">
        <v>0</v>
      </c>
      <c r="F59" s="7">
        <v>3</v>
      </c>
      <c r="G59" s="7">
        <v>78</v>
      </c>
      <c r="H59" s="7">
        <v>0</v>
      </c>
      <c r="I59" s="19">
        <v>7.8528827037773363E-2</v>
      </c>
      <c r="J59" s="7">
        <v>0</v>
      </c>
      <c r="K59" s="6"/>
      <c r="L59" s="7">
        <v>0</v>
      </c>
      <c r="M59" s="7">
        <v>158</v>
      </c>
      <c r="N59" s="7">
        <v>2012</v>
      </c>
    </row>
    <row r="60" spans="1:14" x14ac:dyDescent="0.3">
      <c r="A60" s="10" t="s">
        <v>107</v>
      </c>
      <c r="B60" s="11">
        <v>2247</v>
      </c>
      <c r="C60" s="11">
        <v>3</v>
      </c>
      <c r="D60" s="11">
        <v>0</v>
      </c>
      <c r="E60" s="20">
        <v>0</v>
      </c>
      <c r="F60" s="11">
        <v>4</v>
      </c>
      <c r="G60" s="11">
        <v>109</v>
      </c>
      <c r="H60" s="11">
        <v>0</v>
      </c>
      <c r="I60" s="20">
        <v>2.8482421005785491E-2</v>
      </c>
      <c r="J60" s="11">
        <v>0</v>
      </c>
      <c r="K60" s="10"/>
      <c r="L60" s="11">
        <v>0</v>
      </c>
      <c r="M60" s="11">
        <v>64</v>
      </c>
      <c r="N60" s="11">
        <v>2247</v>
      </c>
    </row>
    <row r="61" spans="1:14" x14ac:dyDescent="0.3">
      <c r="A61" s="6" t="s">
        <v>108</v>
      </c>
      <c r="B61" s="7">
        <v>2186</v>
      </c>
      <c r="C61" s="7">
        <v>2</v>
      </c>
      <c r="D61" s="7">
        <v>0</v>
      </c>
      <c r="E61" s="19">
        <v>0</v>
      </c>
      <c r="F61" s="7">
        <v>2</v>
      </c>
      <c r="G61" s="7">
        <v>302</v>
      </c>
      <c r="H61" s="7">
        <v>228</v>
      </c>
      <c r="I61" s="19">
        <v>0.45952109464082103</v>
      </c>
      <c r="J61" s="7">
        <v>224</v>
      </c>
      <c r="K61" s="6"/>
      <c r="L61" s="7">
        <v>224</v>
      </c>
      <c r="M61" s="7">
        <v>806</v>
      </c>
      <c r="N61" s="7">
        <v>1754</v>
      </c>
    </row>
    <row r="62" spans="1:14" x14ac:dyDescent="0.3">
      <c r="A62" s="10" t="s">
        <v>109</v>
      </c>
      <c r="B62" s="11">
        <v>2097</v>
      </c>
      <c r="C62" s="11">
        <v>3</v>
      </c>
      <c r="D62" s="11">
        <v>0</v>
      </c>
      <c r="E62" s="20">
        <v>0</v>
      </c>
      <c r="F62" s="11">
        <v>3</v>
      </c>
      <c r="G62" s="11">
        <v>109</v>
      </c>
      <c r="H62" s="11">
        <v>40</v>
      </c>
      <c r="I62" s="20">
        <v>0.3257033857892227</v>
      </c>
      <c r="J62" s="11">
        <v>0</v>
      </c>
      <c r="K62" s="10"/>
      <c r="L62" s="11">
        <v>0</v>
      </c>
      <c r="M62" s="11">
        <v>683</v>
      </c>
      <c r="N62" s="11">
        <v>2097</v>
      </c>
    </row>
    <row r="63" spans="1:14" x14ac:dyDescent="0.3">
      <c r="A63" s="6" t="s">
        <v>110</v>
      </c>
      <c r="B63" s="7">
        <v>2087</v>
      </c>
      <c r="C63" s="7">
        <v>4</v>
      </c>
      <c r="D63" s="7">
        <v>0</v>
      </c>
      <c r="E63" s="19">
        <v>0</v>
      </c>
      <c r="F63" s="7">
        <v>4</v>
      </c>
      <c r="G63" s="7">
        <v>147</v>
      </c>
      <c r="H63" s="7">
        <v>52</v>
      </c>
      <c r="I63" s="19">
        <v>0.33157642549113558</v>
      </c>
      <c r="J63" s="7">
        <v>0</v>
      </c>
      <c r="K63" s="6"/>
      <c r="L63" s="7">
        <v>0</v>
      </c>
      <c r="M63" s="7">
        <v>692</v>
      </c>
      <c r="N63" s="7">
        <v>2087</v>
      </c>
    </row>
    <row r="64" spans="1:14" x14ac:dyDescent="0.3">
      <c r="A64" s="10" t="s">
        <v>111</v>
      </c>
      <c r="B64" s="11">
        <v>1837</v>
      </c>
      <c r="C64" s="11">
        <v>2</v>
      </c>
      <c r="D64" s="11">
        <v>0</v>
      </c>
      <c r="E64" s="20">
        <v>0</v>
      </c>
      <c r="F64" s="11">
        <v>5</v>
      </c>
      <c r="G64" s="11">
        <v>78</v>
      </c>
      <c r="H64" s="11">
        <v>0</v>
      </c>
      <c r="I64" s="20">
        <v>7.348938486663037E-2</v>
      </c>
      <c r="J64" s="11">
        <v>0</v>
      </c>
      <c r="K64" s="10"/>
      <c r="L64" s="11">
        <v>0</v>
      </c>
      <c r="M64" s="11">
        <v>135</v>
      </c>
      <c r="N64" s="11">
        <v>1837</v>
      </c>
    </row>
    <row r="65" spans="1:14" x14ac:dyDescent="0.3">
      <c r="A65" s="6" t="s">
        <v>112</v>
      </c>
      <c r="B65" s="7">
        <v>1711</v>
      </c>
      <c r="C65" s="7">
        <v>3</v>
      </c>
      <c r="D65" s="7">
        <v>0</v>
      </c>
      <c r="E65" s="19">
        <v>0</v>
      </c>
      <c r="F65" s="7">
        <v>4</v>
      </c>
      <c r="G65" s="7">
        <v>109</v>
      </c>
      <c r="H65" s="7">
        <v>26</v>
      </c>
      <c r="I65" s="19">
        <v>0.18819403857393341</v>
      </c>
      <c r="J65" s="7">
        <v>0</v>
      </c>
      <c r="K65" s="6"/>
      <c r="L65" s="7">
        <v>0</v>
      </c>
      <c r="M65" s="7">
        <v>322</v>
      </c>
      <c r="N65" s="7">
        <v>1711</v>
      </c>
    </row>
    <row r="66" spans="1:14" x14ac:dyDescent="0.3">
      <c r="A66" s="10" t="s">
        <v>113</v>
      </c>
      <c r="B66" s="11">
        <v>1589</v>
      </c>
      <c r="C66" s="11">
        <v>2</v>
      </c>
      <c r="D66" s="11">
        <v>0</v>
      </c>
      <c r="E66" s="20">
        <v>0</v>
      </c>
      <c r="F66" s="11">
        <v>3</v>
      </c>
      <c r="G66" s="11">
        <v>369</v>
      </c>
      <c r="H66" s="11">
        <v>389</v>
      </c>
      <c r="I66" s="20">
        <v>1.2001258653241029</v>
      </c>
      <c r="J66" s="11">
        <v>318</v>
      </c>
      <c r="K66" s="10"/>
      <c r="L66" s="11">
        <v>318</v>
      </c>
      <c r="M66" s="11">
        <v>1907</v>
      </c>
      <c r="N66" s="11">
        <v>1589</v>
      </c>
    </row>
    <row r="67" spans="1:14" x14ac:dyDescent="0.3">
      <c r="A67" s="6" t="s">
        <v>114</v>
      </c>
      <c r="B67" s="7">
        <v>1166</v>
      </c>
      <c r="C67" s="7">
        <v>0</v>
      </c>
      <c r="D67" s="7">
        <v>0</v>
      </c>
      <c r="E67" s="19">
        <v>0</v>
      </c>
      <c r="F67" s="7">
        <v>4</v>
      </c>
      <c r="G67" s="7">
        <v>0</v>
      </c>
      <c r="H67" s="7">
        <v>0</v>
      </c>
      <c r="I67" s="19">
        <v>0.33668954751762992</v>
      </c>
      <c r="J67" s="7">
        <v>0</v>
      </c>
      <c r="K67" s="6"/>
      <c r="L67" s="7">
        <v>0</v>
      </c>
      <c r="M67" s="7">
        <v>0</v>
      </c>
      <c r="N67" s="7">
        <v>0</v>
      </c>
    </row>
    <row r="68" spans="1:14" x14ac:dyDescent="0.3">
      <c r="A68" s="10" t="s">
        <v>115</v>
      </c>
      <c r="B68" s="11">
        <v>989</v>
      </c>
      <c r="C68" s="11">
        <v>0</v>
      </c>
      <c r="D68" s="11">
        <v>0</v>
      </c>
      <c r="E68" s="20">
        <v>0</v>
      </c>
      <c r="F68" s="11">
        <v>1</v>
      </c>
      <c r="G68" s="11">
        <v>0</v>
      </c>
      <c r="H68" s="11">
        <v>0</v>
      </c>
      <c r="I68" s="20">
        <v>0.33668954751762992</v>
      </c>
      <c r="J68" s="11">
        <v>0</v>
      </c>
      <c r="K68" s="10"/>
      <c r="L68" s="11">
        <v>0</v>
      </c>
      <c r="M68" s="11">
        <v>0</v>
      </c>
      <c r="N68" s="11">
        <v>0</v>
      </c>
    </row>
    <row r="69" spans="1:14" x14ac:dyDescent="0.3">
      <c r="A69" s="6" t="s">
        <v>116</v>
      </c>
      <c r="B69" s="7">
        <v>966</v>
      </c>
      <c r="C69" s="7">
        <v>0</v>
      </c>
      <c r="D69" s="7">
        <v>0</v>
      </c>
      <c r="E69" s="19">
        <v>0</v>
      </c>
      <c r="F69" s="7">
        <v>2</v>
      </c>
      <c r="G69" s="7">
        <v>0</v>
      </c>
      <c r="H69" s="7">
        <v>0</v>
      </c>
      <c r="I69" s="19">
        <v>0.33668954751762992</v>
      </c>
      <c r="J69" s="7">
        <v>0</v>
      </c>
      <c r="K69" s="6"/>
      <c r="L69" s="7">
        <v>0</v>
      </c>
      <c r="M69" s="7">
        <v>0</v>
      </c>
      <c r="N69" s="7">
        <v>0</v>
      </c>
    </row>
    <row r="70" spans="1:14" x14ac:dyDescent="0.3">
      <c r="A70" s="10" t="s">
        <v>117</v>
      </c>
      <c r="B70" s="11">
        <v>855</v>
      </c>
      <c r="C70" s="11">
        <v>0</v>
      </c>
      <c r="D70" s="11">
        <v>0</v>
      </c>
      <c r="E70" s="20">
        <v>0</v>
      </c>
      <c r="F70" s="11">
        <v>2</v>
      </c>
      <c r="G70" s="11">
        <v>0</v>
      </c>
      <c r="H70" s="11">
        <v>0</v>
      </c>
      <c r="I70" s="20">
        <v>0.33668954751762992</v>
      </c>
      <c r="J70" s="11">
        <v>0</v>
      </c>
      <c r="K70" s="10"/>
      <c r="L70" s="11">
        <v>0</v>
      </c>
      <c r="M70" s="11">
        <v>0</v>
      </c>
      <c r="N70" s="11">
        <v>0</v>
      </c>
    </row>
    <row r="71" spans="1:14" x14ac:dyDescent="0.3">
      <c r="A71" s="6" t="s">
        <v>118</v>
      </c>
      <c r="B71" s="7">
        <v>673</v>
      </c>
      <c r="C71" s="7">
        <v>1</v>
      </c>
      <c r="D71" s="7">
        <v>0</v>
      </c>
      <c r="E71" s="19">
        <v>0</v>
      </c>
      <c r="F71" s="7">
        <v>1</v>
      </c>
      <c r="G71" s="7">
        <v>0</v>
      </c>
      <c r="H71" s="7">
        <v>0</v>
      </c>
      <c r="I71" s="19">
        <v>0</v>
      </c>
      <c r="J71" s="7">
        <v>0</v>
      </c>
      <c r="K71" s="6"/>
      <c r="L71" s="7">
        <v>0</v>
      </c>
      <c r="M71" s="7">
        <v>0</v>
      </c>
      <c r="N71" s="7">
        <v>673</v>
      </c>
    </row>
    <row r="72" spans="1:14" x14ac:dyDescent="0.3">
      <c r="A72" s="12" t="s">
        <v>119</v>
      </c>
      <c r="B72" s="13">
        <v>2818396</v>
      </c>
      <c r="C72" s="13">
        <v>695</v>
      </c>
      <c r="D72" s="13">
        <v>312</v>
      </c>
      <c r="E72" s="22">
        <v>1</v>
      </c>
      <c r="F72" s="12"/>
      <c r="G72" s="13">
        <v>61520</v>
      </c>
      <c r="H72" s="13">
        <v>46586</v>
      </c>
      <c r="I72" s="22">
        <v>0.75724967490247075</v>
      </c>
      <c r="J72" s="13">
        <v>20634</v>
      </c>
      <c r="K72" s="12"/>
      <c r="L72" s="13">
        <v>36764</v>
      </c>
      <c r="M72" s="13">
        <v>147100</v>
      </c>
      <c r="N72" s="13">
        <v>436901</v>
      </c>
    </row>
  </sheetData>
  <autoFilter ref="A4:N71" xr:uid="{00000000-0009-0000-0000-000005000000}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Ejecutivo</vt:lpstr>
      <vt:lpstr>Simulación Total 2026</vt:lpstr>
      <vt:lpstr>Simulación 2026 (Ritmo Real)</vt:lpstr>
      <vt:lpstr>Chalecos Activos - Historico</vt:lpstr>
      <vt:lpstr>Proyección por Municipio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Magnolia Fernandez</cp:lastModifiedBy>
  <dcterms:created xsi:type="dcterms:W3CDTF">2026-07-10T20:50:03Z</dcterms:created>
  <dcterms:modified xsi:type="dcterms:W3CDTF">2026-07-14T16:15:32Z</dcterms:modified>
</cp:coreProperties>
</file>